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" sheetId="2" state="visible" r:id="rId2"/>
    <sheet name="Outstanding" sheetId="3" state="visible" r:id="rId3"/>
    <sheet name="Milestones" sheetId="4" state="visible" r:id="rId4"/>
    <sheet name="Data" sheetId="5" state="visible" r:id="rId5"/>
    <sheet name="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808080"/>
      <sz val="9"/>
    </font>
    <font>
      <b val="1"/>
      <color rgb="001F3864"/>
      <sz val="10"/>
    </font>
    <font>
      <b val="1"/>
      <color rgb="001F3864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1" fillId="2" borderId="0" pivotButton="0" quotePrefix="0" xfId="0"/>
    <xf numFmtId="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milestone</a:t>
            </a:r>
          </a:p>
        </rich>
      </tx>
    </title>
    <plotArea>
      <pieChart>
        <varyColors val="1"/>
        <ser>
          <idx val="0"/>
          <order val="0"/>
          <tx>
            <strRef>
              <f>'Dashboard'!B13</f>
            </strRef>
          </tx>
          <spPr>
            <a:ln>
              <a:prstDash val="solid"/>
            </a:ln>
          </spPr>
          <cat>
            <numRef>
              <f>'Dashboard'!$A$14:$A$18</f>
            </numRef>
          </cat>
          <val>
            <numRef>
              <f>'Dashboard'!$B$14:$B$18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collected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'Monthly'!B3</f>
            </strRef>
          </tx>
          <spPr>
            <a:ln>
              <a:prstDash val="solid"/>
            </a:ln>
          </spPr>
          <cat>
            <numRef>
              <f>'Monthly'!$A$4:$A$12</f>
            </numRef>
          </cat>
          <val>
            <numRef>
              <f>'Monthly'!$B$4:$B$12</f>
            </numRef>
          </val>
        </ser>
        <ser>
          <idx val="1"/>
          <order val="1"/>
          <tx>
            <strRef>
              <f>'Monthly'!C3</f>
            </strRef>
          </tx>
          <spPr>
            <a:ln>
              <a:prstDash val="solid"/>
            </a:ln>
          </spPr>
          <cat>
            <numRef>
              <f>'Monthly'!$A$4:$A$12</f>
            </numRef>
          </cat>
          <val>
            <numRef>
              <f>'Monthly'!$C$4:$C$12</f>
            </numRef>
          </val>
        </ser>
        <ser>
          <idx val="2"/>
          <order val="2"/>
          <tx>
            <strRef>
              <f>'Monthly'!D3</f>
            </strRef>
          </tx>
          <spPr>
            <a:ln>
              <a:prstDash val="solid"/>
            </a:ln>
          </spPr>
          <cat>
            <numRef>
              <f>'Monthly'!$A$4:$A$12</f>
            </numRef>
          </cat>
          <val>
            <numRef>
              <f>'Monthly'!$D$4:$D$12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Outstanding by contact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'Outstanding'!B3</f>
            </strRef>
          </tx>
          <spPr>
            <a:ln>
              <a:prstDash val="solid"/>
            </a:ln>
          </spPr>
          <cat>
            <numRef>
              <f>'Outstanding'!$A$4:$A$13</f>
            </numRef>
          </cat>
          <val>
            <numRef>
              <f>'Outstanding'!$B$4:$B$13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7" max="7"/>
  </cols>
  <sheetData>
    <row r="1">
      <c r="A1" s="1" t="inlineStr">
        <is>
          <t>Finance dashboard — Xero + reservations</t>
        </is>
      </c>
    </row>
    <row r="2">
      <c r="A2" s="2" t="inlineStr">
        <is>
          <t>Updated 2026-09-22 08:29 · built in 0.0s</t>
        </is>
      </c>
    </row>
    <row r="4">
      <c r="A4" s="3" t="inlineStr">
        <is>
          <t>Total revenue to date</t>
        </is>
      </c>
      <c r="D4" s="3" t="inlineStr">
        <is>
          <t>Outstanding payments</t>
        </is>
      </c>
      <c r="G4" s="3" t="inlineStr">
        <is>
          <t>Collected</t>
        </is>
      </c>
    </row>
    <row r="5">
      <c r="A5" s="4" t="n">
        <v>610883.28</v>
      </c>
      <c r="D5" s="4" t="n">
        <v>262912.96</v>
      </c>
      <c r="G5" s="4" t="n">
        <v>436017.38</v>
      </c>
    </row>
    <row r="7">
      <c r="A7" s="3" t="inlineStr">
        <is>
          <t>Invoices in view</t>
        </is>
      </c>
      <c r="B7" t="n">
        <v>134</v>
      </c>
      <c r="D7" s="3" t="inlineStr">
        <is>
          <t>Reservations not yet invoiced</t>
        </is>
      </c>
      <c r="E7" s="5" t="n">
        <v>6300</v>
      </c>
      <c r="F7" t="inlineStr">
        <is>
          <t>(4 reservations)</t>
        </is>
      </c>
    </row>
    <row r="8">
      <c r="A8" s="3" t="inlineStr">
        <is>
          <t>Without milestone in the Excel sheet</t>
        </is>
      </c>
      <c r="B8" s="5" t="n">
        <v>114877.44</v>
      </c>
    </row>
    <row r="9">
      <c r="A9" s="2" t="inlineStr">
        <is>
          <t>Revenue ties to Xero statuses AUTHORISED + PAID. Reservations without an invoice are shown separately.</t>
        </is>
      </c>
    </row>
    <row r="11">
      <c r="A11" s="6" t="inlineStr">
        <is>
          <t>Reservation &amp; milestone breakdown</t>
        </is>
      </c>
    </row>
    <row r="13">
      <c r="A13" s="7" t="inlineStr">
        <is>
          <t>Milestone</t>
        </is>
      </c>
      <c r="B13" s="7" t="inlineStr">
        <is>
          <t>Total</t>
        </is>
      </c>
      <c r="C13" s="7" t="inlineStr">
        <is>
          <t>Paid</t>
        </is>
      </c>
      <c r="D13" s="7" t="inlineStr">
        <is>
          <t>Due</t>
        </is>
      </c>
      <c r="E13" s="7" t="inlineStr">
        <is>
          <t>Invoices</t>
        </is>
      </c>
    </row>
    <row r="14">
      <c r="A14" s="8" t="inlineStr">
        <is>
          <t>Deposit</t>
        </is>
      </c>
      <c r="B14" s="9" t="n">
        <v>168030.7</v>
      </c>
      <c r="C14" s="9" t="n">
        <v>121391.35</v>
      </c>
      <c r="D14" s="9" t="n">
        <v>46639.35</v>
      </c>
      <c r="E14" s="8" t="n">
        <v>33</v>
      </c>
    </row>
    <row r="15">
      <c r="A15" s="8" t="inlineStr">
        <is>
          <t>Progress claim 1</t>
        </is>
      </c>
      <c r="B15" s="9" t="n">
        <v>152171.86</v>
      </c>
      <c r="C15" s="9" t="n">
        <v>92358.14</v>
      </c>
      <c r="D15" s="9" t="n">
        <v>59813.71999999999</v>
      </c>
      <c r="E15" s="8" t="n">
        <v>28</v>
      </c>
    </row>
    <row r="16">
      <c r="A16" s="8" t="inlineStr">
        <is>
          <t>Final</t>
        </is>
      </c>
      <c r="B16" s="9" t="n">
        <v>150527.6</v>
      </c>
      <c r="C16" s="9" t="n">
        <v>87482.22</v>
      </c>
      <c r="D16" s="9" t="n">
        <v>63045.38</v>
      </c>
      <c r="E16" s="8" t="n">
        <v>27</v>
      </c>
    </row>
    <row r="17">
      <c r="A17" s="8" t="inlineStr">
        <is>
          <t>Progress claim 2</t>
        </is>
      </c>
      <c r="B17" s="9" t="n">
        <v>119622.74</v>
      </c>
      <c r="C17" s="9" t="n">
        <v>56922.62</v>
      </c>
      <c r="D17" s="9" t="n">
        <v>62700.12</v>
      </c>
      <c r="E17" s="8" t="n">
        <v>27</v>
      </c>
    </row>
    <row r="18">
      <c r="A18" s="8" t="inlineStr">
        <is>
          <t>Unassigned</t>
        </is>
      </c>
      <c r="B18" s="9" t="n">
        <v>114877.44</v>
      </c>
      <c r="C18" s="9" t="n">
        <v>77863.05</v>
      </c>
      <c r="D18" s="9" t="n">
        <v>37014.39</v>
      </c>
      <c r="E18" s="8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>
      <c r="A1" s="6" t="inlineStr">
        <is>
          <t>Revenue, collected and outstanding by month</t>
        </is>
      </c>
    </row>
    <row r="3">
      <c r="A3" s="7" t="inlineStr">
        <is>
          <t>Month</t>
        </is>
      </c>
      <c r="B3" s="7" t="inlineStr">
        <is>
          <t>Revenue</t>
        </is>
      </c>
      <c r="C3" s="7" t="inlineStr">
        <is>
          <t>Collected</t>
        </is>
      </c>
      <c r="D3" s="7" t="inlineStr">
        <is>
          <t>Outstanding</t>
        </is>
      </c>
    </row>
    <row r="4">
      <c r="A4" s="8" t="inlineStr">
        <is>
          <t>2026-01</t>
        </is>
      </c>
      <c r="B4" s="9" t="n">
        <v>91150.78</v>
      </c>
      <c r="C4" s="9" t="n">
        <v>41821.81</v>
      </c>
      <c r="D4" s="9" t="n">
        <v>49328.97</v>
      </c>
    </row>
    <row r="5">
      <c r="A5" s="8" t="inlineStr">
        <is>
          <t>2026-02</t>
        </is>
      </c>
      <c r="B5" s="9" t="n">
        <v>67309.27</v>
      </c>
      <c r="C5" s="9" t="n">
        <v>60269.4</v>
      </c>
      <c r="D5" s="9" t="n">
        <v>7039.87</v>
      </c>
    </row>
    <row r="6">
      <c r="A6" s="8" t="inlineStr">
        <is>
          <t>2026-03</t>
        </is>
      </c>
      <c r="B6" s="9" t="n">
        <v>71254.28999999999</v>
      </c>
      <c r="C6" s="9" t="n">
        <v>50963.14</v>
      </c>
      <c r="D6" s="9" t="n">
        <v>20291.15</v>
      </c>
    </row>
    <row r="7">
      <c r="A7" s="8" t="inlineStr">
        <is>
          <t>2026-04</t>
        </is>
      </c>
      <c r="B7" s="9" t="n">
        <v>93938.44</v>
      </c>
      <c r="C7" s="9" t="n">
        <v>61433.8</v>
      </c>
      <c r="D7" s="9" t="n">
        <v>32504.64</v>
      </c>
    </row>
    <row r="8">
      <c r="A8" s="8" t="inlineStr">
        <is>
          <t>2026-05</t>
        </is>
      </c>
      <c r="B8" s="9" t="n">
        <v>77895.93000000001</v>
      </c>
      <c r="C8" s="9" t="n">
        <v>49108.52</v>
      </c>
      <c r="D8" s="9" t="n">
        <v>28787.41</v>
      </c>
    </row>
    <row r="9">
      <c r="A9" s="8" t="inlineStr">
        <is>
          <t>2026-06</t>
        </is>
      </c>
      <c r="B9" s="9" t="n">
        <v>87830.77</v>
      </c>
      <c r="C9" s="9" t="n">
        <v>56008.91</v>
      </c>
      <c r="D9" s="9" t="n">
        <v>31821.86</v>
      </c>
    </row>
    <row r="10">
      <c r="A10" s="8" t="inlineStr">
        <is>
          <t>2026-07</t>
        </is>
      </c>
      <c r="B10" s="9" t="n">
        <v>89527.89999999999</v>
      </c>
      <c r="C10" s="9" t="n">
        <v>66283.19</v>
      </c>
      <c r="D10" s="9" t="n">
        <v>23244.71</v>
      </c>
    </row>
    <row r="11">
      <c r="A11" s="8" t="inlineStr">
        <is>
          <t>2026-08</t>
        </is>
      </c>
      <c r="B11" s="9" t="n">
        <v>75647.23</v>
      </c>
      <c r="C11" s="9" t="n">
        <v>28067.36</v>
      </c>
      <c r="D11" s="9" t="n">
        <v>47579.87</v>
      </c>
    </row>
    <row r="12">
      <c r="A12" s="8" t="inlineStr">
        <is>
          <t>2026-09</t>
        </is>
      </c>
      <c r="B12" s="9" t="n">
        <v>50675.73</v>
      </c>
      <c r="C12" s="9" t="n">
        <v>22061.25</v>
      </c>
      <c r="D12" s="9" t="n">
        <v>28614.48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</cols>
  <sheetData>
    <row r="1">
      <c r="A1" s="6" t="inlineStr">
        <is>
          <t>Outstanding by contact</t>
        </is>
      </c>
    </row>
    <row r="3">
      <c r="A3" s="7" t="inlineStr">
        <is>
          <t>Contact</t>
        </is>
      </c>
      <c r="B3" s="7" t="inlineStr">
        <is>
          <t>Outstanding</t>
        </is>
      </c>
      <c r="C3" s="7" t="inlineStr">
        <is>
          <t>Invoices</t>
        </is>
      </c>
    </row>
    <row r="4">
      <c r="A4" s="8" t="inlineStr">
        <is>
          <t>Harbourline Logistics</t>
        </is>
      </c>
      <c r="B4" s="9" t="n">
        <v>36834.56</v>
      </c>
      <c r="C4" s="8" t="n">
        <v>6</v>
      </c>
    </row>
    <row r="5">
      <c r="A5" s="8" t="inlineStr">
        <is>
          <t>Kingsway Pharmacy</t>
        </is>
      </c>
      <c r="B5" s="9" t="n">
        <v>32906.79</v>
      </c>
      <c r="C5" s="8" t="n">
        <v>7</v>
      </c>
    </row>
    <row r="6">
      <c r="A6" s="8" t="inlineStr">
        <is>
          <t>Ridgeline Electrical</t>
        </is>
      </c>
      <c r="B6" s="9" t="n">
        <v>30869.55</v>
      </c>
      <c r="C6" s="8" t="n">
        <v>5</v>
      </c>
    </row>
    <row r="7">
      <c r="A7" s="8" t="inlineStr">
        <is>
          <t>Cedar &amp; Co Accountants</t>
        </is>
      </c>
      <c r="B7" s="9" t="n">
        <v>28803.81</v>
      </c>
      <c r="C7" s="8" t="n">
        <v>7</v>
      </c>
    </row>
    <row r="8">
      <c r="A8" s="8" t="inlineStr">
        <is>
          <t>Northgate Property Group</t>
        </is>
      </c>
      <c r="B8" s="9" t="n">
        <v>28254.76</v>
      </c>
      <c r="C8" s="8" t="n">
        <v>5</v>
      </c>
    </row>
    <row r="9">
      <c r="A9" s="8" t="inlineStr">
        <is>
          <t>Talbot Freight</t>
        </is>
      </c>
      <c r="B9" s="9" t="n">
        <v>24687.67</v>
      </c>
      <c r="C9" s="8" t="n">
        <v>7</v>
      </c>
    </row>
    <row r="10">
      <c r="A10" s="8" t="inlineStr">
        <is>
          <t>Bluewater Dental</t>
        </is>
      </c>
      <c r="B10" s="9" t="n">
        <v>22675.03</v>
      </c>
      <c r="C10" s="8" t="n">
        <v>5</v>
      </c>
    </row>
    <row r="11">
      <c r="A11" s="8" t="inlineStr">
        <is>
          <t>Silverfern Studios</t>
        </is>
      </c>
      <c r="B11" s="9" t="n">
        <v>21387.59</v>
      </c>
      <c r="C11" s="8" t="n">
        <v>4</v>
      </c>
    </row>
    <row r="12">
      <c r="A12" s="8" t="inlineStr">
        <is>
          <t>Hollis Constructions</t>
        </is>
      </c>
      <c r="B12" s="9" t="n">
        <v>19652.3</v>
      </c>
      <c r="C12" s="8" t="n">
        <v>4</v>
      </c>
    </row>
    <row r="13">
      <c r="A13" s="8" t="inlineStr">
        <is>
          <t>Meridian Fitouts</t>
        </is>
      </c>
      <c r="B13" s="9" t="n">
        <v>16840.9</v>
      </c>
      <c r="C13" s="8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Milestone table for pivot use</t>
        </is>
      </c>
    </row>
    <row r="3">
      <c r="A3" s="7" t="inlineStr">
        <is>
          <t>Milestone</t>
        </is>
      </c>
      <c r="B3" s="7" t="inlineStr">
        <is>
          <t>Total</t>
        </is>
      </c>
      <c r="C3" s="7" t="inlineStr">
        <is>
          <t>Paid</t>
        </is>
      </c>
      <c r="D3" s="7" t="inlineStr">
        <is>
          <t>Due</t>
        </is>
      </c>
      <c r="E3" s="7" t="inlineStr">
        <is>
          <t>Invoices</t>
        </is>
      </c>
    </row>
    <row r="4">
      <c r="A4" s="8" t="inlineStr">
        <is>
          <t>Deposit</t>
        </is>
      </c>
      <c r="B4" s="9" t="n">
        <v>168030.7</v>
      </c>
      <c r="C4" s="9" t="n">
        <v>121391.35</v>
      </c>
      <c r="D4" s="9" t="n">
        <v>46639.35</v>
      </c>
      <c r="E4" s="8" t="n">
        <v>33</v>
      </c>
    </row>
    <row r="5">
      <c r="A5" s="8" t="inlineStr">
        <is>
          <t>Progress claim 1</t>
        </is>
      </c>
      <c r="B5" s="9" t="n">
        <v>152171.86</v>
      </c>
      <c r="C5" s="9" t="n">
        <v>92358.14</v>
      </c>
      <c r="D5" s="9" t="n">
        <v>59813.71999999999</v>
      </c>
      <c r="E5" s="8" t="n">
        <v>28</v>
      </c>
    </row>
    <row r="6">
      <c r="A6" s="8" t="inlineStr">
        <is>
          <t>Final</t>
        </is>
      </c>
      <c r="B6" s="9" t="n">
        <v>150527.6</v>
      </c>
      <c r="C6" s="9" t="n">
        <v>87482.22</v>
      </c>
      <c r="D6" s="9" t="n">
        <v>63045.38</v>
      </c>
      <c r="E6" s="8" t="n">
        <v>27</v>
      </c>
    </row>
    <row r="7">
      <c r="A7" s="8" t="inlineStr">
        <is>
          <t>Progress claim 2</t>
        </is>
      </c>
      <c r="B7" s="9" t="n">
        <v>119622.74</v>
      </c>
      <c r="C7" s="9" t="n">
        <v>56922.62</v>
      </c>
      <c r="D7" s="9" t="n">
        <v>62700.12</v>
      </c>
      <c r="E7" s="8" t="n">
        <v>27</v>
      </c>
    </row>
    <row r="8">
      <c r="A8" s="8" t="inlineStr">
        <is>
          <t>Unassigned</t>
        </is>
      </c>
      <c r="B8" s="9" t="n">
        <v>114877.44</v>
      </c>
      <c r="C8" s="9" t="n">
        <v>77863.05</v>
      </c>
      <c r="D8" s="9" t="n">
        <v>37014.39</v>
      </c>
      <c r="E8" s="8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Merged detail (one row per invoice)</t>
        </is>
      </c>
    </row>
    <row r="3">
      <c r="A3" s="7" t="inlineStr">
        <is>
          <t>InvoiceID</t>
        </is>
      </c>
      <c r="B3" s="7" t="inlineStr">
        <is>
          <t>InvoiceNumber</t>
        </is>
      </c>
      <c r="C3" s="7" t="inlineStr">
        <is>
          <t>Contact</t>
        </is>
      </c>
      <c r="D3" s="7" t="inlineStr">
        <is>
          <t>Status</t>
        </is>
      </c>
      <c r="E3" s="7" t="inlineStr">
        <is>
          <t>Date</t>
        </is>
      </c>
      <c r="F3" s="7" t="inlineStr">
        <is>
          <t>DueDate</t>
        </is>
      </c>
      <c r="G3" s="7" t="inlineStr">
        <is>
          <t>Total</t>
        </is>
      </c>
      <c r="H3" s="7" t="inlineStr">
        <is>
          <t>AmountDue</t>
        </is>
      </c>
      <c r="I3" s="7" t="inlineStr">
        <is>
          <t>AmountPaid</t>
        </is>
      </c>
      <c r="J3" s="7" t="inlineStr">
        <is>
          <t>Currency</t>
        </is>
      </c>
      <c r="K3" s="7" t="inlineStr">
        <is>
          <t>Reference</t>
        </is>
      </c>
      <c r="L3" s="7" t="inlineStr">
        <is>
          <t>Source</t>
        </is>
      </c>
      <c r="M3" s="7" t="inlineStr">
        <is>
          <t>ReservationID</t>
        </is>
      </c>
      <c r="N3" s="7" t="inlineStr">
        <is>
          <t>Milestone</t>
        </is>
      </c>
      <c r="O3" s="7" t="inlineStr">
        <is>
          <t>ReservationAmount</t>
        </is>
      </c>
      <c r="P3" s="7" t="inlineStr">
        <is>
          <t>ReservationPaid</t>
        </is>
      </c>
    </row>
    <row r="4">
      <c r="A4" s="8" t="inlineStr">
        <is>
          <t>inv-0000</t>
        </is>
      </c>
      <c r="B4" s="8" t="inlineStr">
        <is>
          <t>INV-2000</t>
        </is>
      </c>
      <c r="C4" s="8" t="inlineStr">
        <is>
          <t>Northgate Property Group</t>
        </is>
      </c>
      <c r="D4" s="8" t="inlineStr">
        <is>
          <t>AUTHORISED</t>
        </is>
      </c>
      <c r="E4" s="8" t="inlineStr">
        <is>
          <t>2026-01-08</t>
        </is>
      </c>
      <c r="F4" s="8" t="inlineStr">
        <is>
          <t>2026-01-22</t>
        </is>
      </c>
      <c r="G4" s="9" t="n">
        <v>8903.620000000001</v>
      </c>
      <c r="H4" s="9" t="n">
        <v>8903.620000000001</v>
      </c>
      <c r="I4" s="9" t="n">
        <v>0</v>
      </c>
      <c r="J4" s="8" t="inlineStr">
        <is>
          <t>AUD</t>
        </is>
      </c>
      <c r="K4" s="8" t="inlineStr">
        <is>
          <t>Deposit — Northgate Property Group</t>
        </is>
      </c>
      <c r="L4" s="8" t="inlineStr">
        <is>
          <t>Xero</t>
        </is>
      </c>
      <c r="M4" s="8" t="inlineStr">
        <is>
          <t>RES-0000</t>
        </is>
      </c>
      <c r="N4" s="8" t="inlineStr">
        <is>
          <t>Deposit</t>
        </is>
      </c>
      <c r="O4" s="9" t="n">
        <v>8903.620000000001</v>
      </c>
      <c r="P4" s="9" t="n">
        <v>0</v>
      </c>
    </row>
    <row r="5">
      <c r="A5" s="8" t="inlineStr">
        <is>
          <t>inv-0001</t>
        </is>
      </c>
      <c r="B5" s="8" t="inlineStr">
        <is>
          <t>INV-2001</t>
        </is>
      </c>
      <c r="C5" s="8" t="inlineStr">
        <is>
          <t>Harbourline Logistics</t>
        </is>
      </c>
      <c r="D5" s="8" t="inlineStr">
        <is>
          <t>SUBMITTED</t>
        </is>
      </c>
      <c r="E5" s="8" t="inlineStr">
        <is>
          <t>2026-01-10</t>
        </is>
      </c>
      <c r="F5" s="8" t="inlineStr">
        <is>
          <t>2026-01-24</t>
        </is>
      </c>
      <c r="G5" s="9" t="n">
        <v>3826.56</v>
      </c>
      <c r="H5" s="9" t="n">
        <v>3826.56</v>
      </c>
      <c r="I5" s="9" t="n">
        <v>0</v>
      </c>
      <c r="J5" s="8" t="inlineStr">
        <is>
          <t>AUD</t>
        </is>
      </c>
      <c r="K5" s="8" t="inlineStr">
        <is>
          <t>Progress claim 1 — Harbourline Logistics</t>
        </is>
      </c>
      <c r="L5" s="8" t="inlineStr">
        <is>
          <t>Xero</t>
        </is>
      </c>
      <c r="M5" s="8" t="inlineStr">
        <is>
          <t>RES-0001</t>
        </is>
      </c>
      <c r="N5" s="8" t="inlineStr">
        <is>
          <t>Progress claim 1</t>
        </is>
      </c>
      <c r="O5" s="9" t="n">
        <v>3826.56</v>
      </c>
      <c r="P5" s="9" t="n">
        <v>0</v>
      </c>
    </row>
    <row r="6">
      <c r="A6" s="8" t="inlineStr">
        <is>
          <t>inv-0002</t>
        </is>
      </c>
      <c r="B6" s="8" t="inlineStr">
        <is>
          <t>INV-2002</t>
        </is>
      </c>
      <c r="C6" s="8" t="inlineStr">
        <is>
          <t>Cedar &amp; Co Accountants</t>
        </is>
      </c>
      <c r="D6" s="8" t="inlineStr">
        <is>
          <t>PAID</t>
        </is>
      </c>
      <c r="E6" s="8" t="inlineStr">
        <is>
          <t>2026-01-12</t>
        </is>
      </c>
      <c r="F6" s="8" t="inlineStr">
        <is>
          <t>2026-01-26</t>
        </is>
      </c>
      <c r="G6" s="9" t="n">
        <v>522.01</v>
      </c>
      <c r="H6" s="9" t="n">
        <v>0</v>
      </c>
      <c r="I6" s="9" t="n">
        <v>522.01</v>
      </c>
      <c r="J6" s="8" t="inlineStr">
        <is>
          <t>AUD</t>
        </is>
      </c>
      <c r="K6" s="8" t="inlineStr">
        <is>
          <t>Progress claim 2 — Cedar &amp; Co Accountants</t>
        </is>
      </c>
      <c r="L6" s="8" t="inlineStr">
        <is>
          <t>Xero</t>
        </is>
      </c>
      <c r="M6" s="8" t="inlineStr">
        <is>
          <t>RES-0002</t>
        </is>
      </c>
      <c r="N6" s="8" t="inlineStr">
        <is>
          <t>Progress claim 2</t>
        </is>
      </c>
      <c r="O6" s="9" t="n">
        <v>522.01</v>
      </c>
      <c r="P6" s="9" t="n">
        <v>522.01</v>
      </c>
    </row>
    <row r="7">
      <c r="A7" s="8" t="inlineStr">
        <is>
          <t>inv-0003</t>
        </is>
      </c>
      <c r="B7" s="8" t="inlineStr">
        <is>
          <t>INV-2003</t>
        </is>
      </c>
      <c r="C7" s="8" t="inlineStr">
        <is>
          <t>Ridgeline Electrical</t>
        </is>
      </c>
      <c r="D7" s="8" t="inlineStr">
        <is>
          <t>PAID</t>
        </is>
      </c>
      <c r="E7" s="8" t="inlineStr">
        <is>
          <t>2026-01-14</t>
        </is>
      </c>
      <c r="F7" s="8" t="inlineStr">
        <is>
          <t>2026-01-28</t>
        </is>
      </c>
      <c r="G7" s="9" t="n">
        <v>6480.15</v>
      </c>
      <c r="H7" s="9" t="n">
        <v>0</v>
      </c>
      <c r="I7" s="9" t="n">
        <v>6480.15</v>
      </c>
      <c r="J7" s="8" t="inlineStr">
        <is>
          <t>AUD</t>
        </is>
      </c>
      <c r="K7" s="8" t="inlineStr">
        <is>
          <t>Final — Ridgeline Electrical</t>
        </is>
      </c>
      <c r="L7" s="8" t="inlineStr">
        <is>
          <t>Xero</t>
        </is>
      </c>
      <c r="M7" s="9" t="n">
        <v/>
      </c>
      <c r="N7" s="8" t="inlineStr">
        <is>
          <t>Unassigned</t>
        </is>
      </c>
      <c r="O7" s="9" t="n">
        <v/>
      </c>
      <c r="P7" s="9" t="n">
        <v/>
      </c>
    </row>
    <row r="8">
      <c r="A8" s="8" t="inlineStr">
        <is>
          <t>inv-0004</t>
        </is>
      </c>
      <c r="B8" s="8" t="inlineStr">
        <is>
          <t>INV-2004</t>
        </is>
      </c>
      <c r="C8" s="8" t="inlineStr">
        <is>
          <t>Bluewater Dental</t>
        </is>
      </c>
      <c r="D8" s="8" t="inlineStr">
        <is>
          <t>AUTHORISED</t>
        </is>
      </c>
      <c r="E8" s="8" t="inlineStr">
        <is>
          <t>2026-01-16</t>
        </is>
      </c>
      <c r="F8" s="8" t="inlineStr">
        <is>
          <t>2026-01-30</t>
        </is>
      </c>
      <c r="G8" s="9" t="n">
        <v>1060.56</v>
      </c>
      <c r="H8" s="9" t="n">
        <v>1060.56</v>
      </c>
      <c r="I8" s="9" t="n">
        <v>0</v>
      </c>
      <c r="J8" s="8" t="inlineStr">
        <is>
          <t>AUD</t>
        </is>
      </c>
      <c r="K8" s="8" t="inlineStr">
        <is>
          <t>Deposit — Bluewater Dental</t>
        </is>
      </c>
      <c r="L8" s="8" t="inlineStr">
        <is>
          <t>Xero</t>
        </is>
      </c>
      <c r="M8" s="8" t="inlineStr">
        <is>
          <t>RES-0004</t>
        </is>
      </c>
      <c r="N8" s="8" t="inlineStr">
        <is>
          <t>Deposit</t>
        </is>
      </c>
      <c r="O8" s="9" t="n">
        <v>1060.56</v>
      </c>
      <c r="P8" s="9" t="n">
        <v>0</v>
      </c>
    </row>
    <row r="9">
      <c r="A9" s="8" t="inlineStr">
        <is>
          <t>inv-0005</t>
        </is>
      </c>
      <c r="B9" s="8" t="inlineStr">
        <is>
          <t>INV-2005</t>
        </is>
      </c>
      <c r="C9" s="8" t="inlineStr">
        <is>
          <t>Meridian Fitouts</t>
        </is>
      </c>
      <c r="D9" s="8" t="inlineStr">
        <is>
          <t>AUTHORISED</t>
        </is>
      </c>
      <c r="E9" s="8" t="inlineStr">
        <is>
          <t>2026-01-18</t>
        </is>
      </c>
      <c r="F9" s="8" t="inlineStr">
        <is>
          <t>2026-02-01</t>
        </is>
      </c>
      <c r="G9" s="9" t="n">
        <v>6109.84</v>
      </c>
      <c r="H9" s="9" t="n">
        <v>6109.84</v>
      </c>
      <c r="I9" s="9" t="n">
        <v>0</v>
      </c>
      <c r="J9" s="8" t="inlineStr">
        <is>
          <t>AUD</t>
        </is>
      </c>
      <c r="K9" s="8" t="inlineStr">
        <is>
          <t>Progress claim 1 — Meridian Fitouts</t>
        </is>
      </c>
      <c r="L9" s="8" t="inlineStr">
        <is>
          <t>Xero</t>
        </is>
      </c>
      <c r="M9" s="8" t="inlineStr">
        <is>
          <t>RES-0005</t>
        </is>
      </c>
      <c r="N9" s="8" t="inlineStr">
        <is>
          <t>Progress claim 1</t>
        </is>
      </c>
      <c r="O9" s="9" t="n">
        <v>6109.84</v>
      </c>
      <c r="P9" s="9" t="n">
        <v>0</v>
      </c>
    </row>
    <row r="10">
      <c r="A10" s="8" t="inlineStr">
        <is>
          <t>inv-0006</t>
        </is>
      </c>
      <c r="B10" s="8" t="inlineStr">
        <is>
          <t>INV-2006</t>
        </is>
      </c>
      <c r="C10" s="8" t="inlineStr">
        <is>
          <t>Talbot Freight</t>
        </is>
      </c>
      <c r="D10" s="8" t="inlineStr">
        <is>
          <t>AUTHORISED</t>
        </is>
      </c>
      <c r="E10" s="8" t="inlineStr">
        <is>
          <t>2026-01-20</t>
        </is>
      </c>
      <c r="F10" s="8" t="inlineStr">
        <is>
          <t>2026-02-03</t>
        </is>
      </c>
      <c r="G10" s="9" t="n">
        <v>8421.34</v>
      </c>
      <c r="H10" s="9" t="n">
        <v>8421.34</v>
      </c>
      <c r="I10" s="9" t="n">
        <v>0</v>
      </c>
      <c r="J10" s="8" t="inlineStr">
        <is>
          <t>AUD</t>
        </is>
      </c>
      <c r="K10" s="8" t="inlineStr">
        <is>
          <t>Progress claim 2 — Talbot Freight</t>
        </is>
      </c>
      <c r="L10" s="8" t="inlineStr">
        <is>
          <t>Xero</t>
        </is>
      </c>
      <c r="M10" s="8" t="inlineStr">
        <is>
          <t>RES-0006</t>
        </is>
      </c>
      <c r="N10" s="8" t="inlineStr">
        <is>
          <t>Progress claim 2</t>
        </is>
      </c>
      <c r="O10" s="9" t="n">
        <v>8421.34</v>
      </c>
      <c r="P10" s="9" t="n">
        <v>0</v>
      </c>
    </row>
    <row r="11">
      <c r="A11" s="8" t="inlineStr">
        <is>
          <t>inv-0007</t>
        </is>
      </c>
      <c r="B11" s="8" t="inlineStr">
        <is>
          <t>INV-2007</t>
        </is>
      </c>
      <c r="C11" s="8" t="inlineStr">
        <is>
          <t>Kingsway Pharmacy</t>
        </is>
      </c>
      <c r="D11" s="8" t="inlineStr">
        <is>
          <t>PAID</t>
        </is>
      </c>
      <c r="E11" s="8" t="inlineStr">
        <is>
          <t>2026-01-22</t>
        </is>
      </c>
      <c r="F11" s="8" t="inlineStr">
        <is>
          <t>2026-02-05</t>
        </is>
      </c>
      <c r="G11" s="9" t="n">
        <v>5266.8</v>
      </c>
      <c r="H11" s="9" t="n">
        <v>0</v>
      </c>
      <c r="I11" s="9" t="n">
        <v>5266.8</v>
      </c>
      <c r="J11" s="8" t="inlineStr">
        <is>
          <t>AUD</t>
        </is>
      </c>
      <c r="K11" s="8" t="inlineStr">
        <is>
          <t>Final — Kingsway Pharmacy</t>
        </is>
      </c>
      <c r="L11" s="8" t="inlineStr">
        <is>
          <t>Xero</t>
        </is>
      </c>
      <c r="M11" s="8" t="inlineStr">
        <is>
          <t>RES-0007</t>
        </is>
      </c>
      <c r="N11" s="8" t="inlineStr">
        <is>
          <t>Final</t>
        </is>
      </c>
      <c r="O11" s="9" t="n">
        <v>5266.8</v>
      </c>
      <c r="P11" s="9" t="n">
        <v>5266.8</v>
      </c>
    </row>
    <row r="12">
      <c r="A12" s="8" t="inlineStr">
        <is>
          <t>inv-0008</t>
        </is>
      </c>
      <c r="B12" s="8" t="inlineStr">
        <is>
          <t>INV-2008</t>
        </is>
      </c>
      <c r="C12" s="8" t="inlineStr">
        <is>
          <t>Silverfern Studios</t>
        </is>
      </c>
      <c r="D12" s="8" t="inlineStr">
        <is>
          <t>PAID</t>
        </is>
      </c>
      <c r="E12" s="8" t="inlineStr">
        <is>
          <t>2026-01-24</t>
        </is>
      </c>
      <c r="F12" s="8" t="inlineStr">
        <is>
          <t>2026-02-07</t>
        </is>
      </c>
      <c r="G12" s="9" t="n">
        <v>8512.360000000001</v>
      </c>
      <c r="H12" s="9" t="n">
        <v>0</v>
      </c>
      <c r="I12" s="9" t="n">
        <v>8512.360000000001</v>
      </c>
      <c r="J12" s="8" t="inlineStr">
        <is>
          <t>AUD</t>
        </is>
      </c>
      <c r="K12" s="8" t="inlineStr">
        <is>
          <t>Deposit — Silverfern Studios</t>
        </is>
      </c>
      <c r="L12" s="8" t="inlineStr">
        <is>
          <t>Xero</t>
        </is>
      </c>
      <c r="M12" s="8" t="inlineStr">
        <is>
          <t>RES-0008</t>
        </is>
      </c>
      <c r="N12" s="8" t="inlineStr">
        <is>
          <t>Deposit</t>
        </is>
      </c>
      <c r="O12" s="9" t="n">
        <v>8512.360000000001</v>
      </c>
      <c r="P12" s="9" t="n">
        <v>8512.360000000001</v>
      </c>
    </row>
    <row r="13">
      <c r="A13" s="8" t="inlineStr">
        <is>
          <t>inv-0009</t>
        </is>
      </c>
      <c r="B13" s="8" t="inlineStr">
        <is>
          <t>INV-2009</t>
        </is>
      </c>
      <c r="C13" s="8" t="inlineStr">
        <is>
          <t>Hollis Constructions</t>
        </is>
      </c>
      <c r="D13" s="8" t="inlineStr">
        <is>
          <t>AUTHORISED</t>
        </is>
      </c>
      <c r="E13" s="8" t="inlineStr">
        <is>
          <t>2026-01-26</t>
        </is>
      </c>
      <c r="F13" s="8" t="inlineStr">
        <is>
          <t>2026-02-09</t>
        </is>
      </c>
      <c r="G13" s="9" t="n">
        <v>1459.98</v>
      </c>
      <c r="H13" s="9" t="n">
        <v>1459.98</v>
      </c>
      <c r="I13" s="9" t="n">
        <v>0</v>
      </c>
      <c r="J13" s="8" t="inlineStr">
        <is>
          <t>AUD</t>
        </is>
      </c>
      <c r="K13" s="8" t="inlineStr">
        <is>
          <t>Progress claim 1 — Hollis Constructions</t>
        </is>
      </c>
      <c r="L13" s="8" t="inlineStr">
        <is>
          <t>Xero</t>
        </is>
      </c>
      <c r="M13" s="8" t="inlineStr">
        <is>
          <t>RES-0009</t>
        </is>
      </c>
      <c r="N13" s="8" t="inlineStr">
        <is>
          <t>Progress claim 1</t>
        </is>
      </c>
      <c r="O13" s="9" t="n">
        <v>1459.98</v>
      </c>
      <c r="P13" s="9" t="n">
        <v>0</v>
      </c>
    </row>
    <row r="14">
      <c r="A14" s="8" t="inlineStr">
        <is>
          <t>inv-0010</t>
        </is>
      </c>
      <c r="B14" s="8" t="inlineStr">
        <is>
          <t>INV-2010</t>
        </is>
      </c>
      <c r="C14" s="8" t="inlineStr">
        <is>
          <t>Northgate Property Group</t>
        </is>
      </c>
      <c r="D14" s="8" t="inlineStr">
        <is>
          <t>PAID</t>
        </is>
      </c>
      <c r="E14" s="8" t="inlineStr">
        <is>
          <t>2026-01-28</t>
        </is>
      </c>
      <c r="F14" s="8" t="inlineStr">
        <is>
          <t>2026-02-11</t>
        </is>
      </c>
      <c r="G14" s="9" t="n">
        <v>2364.95</v>
      </c>
      <c r="H14" s="9" t="n">
        <v>0</v>
      </c>
      <c r="I14" s="9" t="n">
        <v>2364.95</v>
      </c>
      <c r="J14" s="8" t="inlineStr">
        <is>
          <t>AUD</t>
        </is>
      </c>
      <c r="K14" s="8" t="inlineStr">
        <is>
          <t>Progress claim 2 — Northgate Property Group</t>
        </is>
      </c>
      <c r="L14" s="8" t="inlineStr">
        <is>
          <t>Xero</t>
        </is>
      </c>
      <c r="M14" s="9" t="n">
        <v/>
      </c>
      <c r="N14" s="8" t="inlineStr">
        <is>
          <t>Unassigned</t>
        </is>
      </c>
      <c r="O14" s="9" t="n">
        <v/>
      </c>
      <c r="P14" s="9" t="n">
        <v/>
      </c>
    </row>
    <row r="15">
      <c r="A15" s="8" t="inlineStr">
        <is>
          <t>inv-0011</t>
        </is>
      </c>
      <c r="B15" s="8" t="inlineStr">
        <is>
          <t>INV-2011</t>
        </is>
      </c>
      <c r="C15" s="8" t="inlineStr">
        <is>
          <t>Harbourline Logistics</t>
        </is>
      </c>
      <c r="D15" s="8" t="inlineStr">
        <is>
          <t>SUBMITTED</t>
        </is>
      </c>
      <c r="E15" s="8" t="inlineStr">
        <is>
          <t>2026-01-30</t>
        </is>
      </c>
      <c r="F15" s="8" t="inlineStr">
        <is>
          <t>2026-02-13</t>
        </is>
      </c>
      <c r="G15" s="9" t="n">
        <v>9219.49</v>
      </c>
      <c r="H15" s="9" t="n">
        <v>9219.49</v>
      </c>
      <c r="I15" s="9" t="n">
        <v>0</v>
      </c>
      <c r="J15" s="8" t="inlineStr">
        <is>
          <t>AUD</t>
        </is>
      </c>
      <c r="K15" s="8" t="inlineStr">
        <is>
          <t>Final — Harbourline Logistics</t>
        </is>
      </c>
      <c r="L15" s="8" t="inlineStr">
        <is>
          <t>Xero</t>
        </is>
      </c>
      <c r="M15" s="8" t="inlineStr">
        <is>
          <t>RES-0011</t>
        </is>
      </c>
      <c r="N15" s="8" t="inlineStr">
        <is>
          <t>Final</t>
        </is>
      </c>
      <c r="O15" s="9" t="n">
        <v>9219.49</v>
      </c>
      <c r="P15" s="9" t="n">
        <v>0</v>
      </c>
    </row>
    <row r="16">
      <c r="A16" s="8" t="inlineStr">
        <is>
          <t>inv-0012</t>
        </is>
      </c>
      <c r="B16" s="8" t="inlineStr">
        <is>
          <t>INV-2012</t>
        </is>
      </c>
      <c r="C16" s="8" t="inlineStr">
        <is>
          <t>Cedar &amp; Co Accountants</t>
        </is>
      </c>
      <c r="D16" s="8" t="inlineStr">
        <is>
          <t>AUTHORISED</t>
        </is>
      </c>
      <c r="E16" s="8" t="inlineStr">
        <is>
          <t>2026-02-01</t>
        </is>
      </c>
      <c r="F16" s="8" t="inlineStr">
        <is>
          <t>2026-02-15</t>
        </is>
      </c>
      <c r="G16" s="9" t="n">
        <v>1396.47</v>
      </c>
      <c r="H16" s="9" t="n">
        <v>1396.47</v>
      </c>
      <c r="I16" s="9" t="n">
        <v>0</v>
      </c>
      <c r="J16" s="8" t="inlineStr">
        <is>
          <t>AUD</t>
        </is>
      </c>
      <c r="K16" s="8" t="inlineStr">
        <is>
          <t>Deposit — Cedar &amp; Co Accountants</t>
        </is>
      </c>
      <c r="L16" s="8" t="inlineStr">
        <is>
          <t>Xero</t>
        </is>
      </c>
      <c r="M16" s="8" t="inlineStr">
        <is>
          <t>RES-0012</t>
        </is>
      </c>
      <c r="N16" s="8" t="inlineStr">
        <is>
          <t>Deposit</t>
        </is>
      </c>
      <c r="O16" s="9" t="n">
        <v>1396.47</v>
      </c>
      <c r="P16" s="9" t="n">
        <v>0</v>
      </c>
    </row>
    <row r="17">
      <c r="A17" s="8" t="inlineStr">
        <is>
          <t>inv-0013</t>
        </is>
      </c>
      <c r="B17" s="8" t="inlineStr">
        <is>
          <t>INV-2013</t>
        </is>
      </c>
      <c r="C17" s="8" t="inlineStr">
        <is>
          <t>Ridgeline Electrical</t>
        </is>
      </c>
      <c r="D17" s="8" t="inlineStr">
        <is>
          <t>PAID</t>
        </is>
      </c>
      <c r="E17" s="8" t="inlineStr">
        <is>
          <t>2026-02-03</t>
        </is>
      </c>
      <c r="F17" s="8" t="inlineStr">
        <is>
          <t>2026-02-17</t>
        </is>
      </c>
      <c r="G17" s="9" t="n">
        <v>9064.4</v>
      </c>
      <c r="H17" s="9" t="n">
        <v>0</v>
      </c>
      <c r="I17" s="9" t="n">
        <v>9064.4</v>
      </c>
      <c r="J17" s="8" t="inlineStr">
        <is>
          <t>AUD</t>
        </is>
      </c>
      <c r="K17" s="8" t="inlineStr">
        <is>
          <t>Progress claim 1 — Ridgeline Electrical</t>
        </is>
      </c>
      <c r="L17" s="8" t="inlineStr">
        <is>
          <t>Xero</t>
        </is>
      </c>
      <c r="M17" s="8" t="inlineStr">
        <is>
          <t>RES-0013</t>
        </is>
      </c>
      <c r="N17" s="8" t="inlineStr">
        <is>
          <t>Progress claim 1</t>
        </is>
      </c>
      <c r="O17" s="9" t="n">
        <v>9064.4</v>
      </c>
      <c r="P17" s="9" t="n">
        <v>9064.4</v>
      </c>
    </row>
    <row r="18">
      <c r="A18" s="8" t="inlineStr">
        <is>
          <t>inv-0014</t>
        </is>
      </c>
      <c r="B18" s="8" t="inlineStr">
        <is>
          <t>INV-2014</t>
        </is>
      </c>
      <c r="C18" s="8" t="inlineStr">
        <is>
          <t>Bluewater Dental</t>
        </is>
      </c>
      <c r="D18" s="8" t="inlineStr">
        <is>
          <t>PAID</t>
        </is>
      </c>
      <c r="E18" s="8" t="inlineStr">
        <is>
          <t>2026-02-05</t>
        </is>
      </c>
      <c r="F18" s="8" t="inlineStr">
        <is>
          <t>2026-02-19</t>
        </is>
      </c>
      <c r="G18" s="9" t="n">
        <v>1562.14</v>
      </c>
      <c r="H18" s="9" t="n">
        <v>0</v>
      </c>
      <c r="I18" s="9" t="n">
        <v>1562.14</v>
      </c>
      <c r="J18" s="8" t="inlineStr">
        <is>
          <t>AUD</t>
        </is>
      </c>
      <c r="K18" s="8" t="inlineStr">
        <is>
          <t>Progress claim 2 — Bluewater Dental</t>
        </is>
      </c>
      <c r="L18" s="8" t="inlineStr">
        <is>
          <t>Xero</t>
        </is>
      </c>
      <c r="M18" s="8" t="inlineStr">
        <is>
          <t>RES-0014</t>
        </is>
      </c>
      <c r="N18" s="8" t="inlineStr">
        <is>
          <t>Progress claim 2</t>
        </is>
      </c>
      <c r="O18" s="9" t="n">
        <v>1562.14</v>
      </c>
      <c r="P18" s="9" t="n">
        <v>1562.14</v>
      </c>
    </row>
    <row r="19">
      <c r="A19" s="8" t="inlineStr">
        <is>
          <t>inv-0015</t>
        </is>
      </c>
      <c r="B19" s="8" t="inlineStr">
        <is>
          <t>INV-2015</t>
        </is>
      </c>
      <c r="C19" s="8" t="inlineStr">
        <is>
          <t>Meridian Fitouts</t>
        </is>
      </c>
      <c r="D19" s="8" t="inlineStr">
        <is>
          <t>PAID</t>
        </is>
      </c>
      <c r="E19" s="8" t="inlineStr">
        <is>
          <t>2026-02-07</t>
        </is>
      </c>
      <c r="F19" s="8" t="inlineStr">
        <is>
          <t>2026-02-21</t>
        </is>
      </c>
      <c r="G19" s="9" t="n">
        <v>2372.81</v>
      </c>
      <c r="H19" s="9" t="n">
        <v>0</v>
      </c>
      <c r="I19" s="9" t="n">
        <v>2372.81</v>
      </c>
      <c r="J19" s="8" t="inlineStr">
        <is>
          <t>AUD</t>
        </is>
      </c>
      <c r="K19" s="8" t="inlineStr">
        <is>
          <t>Final — Meridian Fitouts</t>
        </is>
      </c>
      <c r="L19" s="8" t="inlineStr">
        <is>
          <t>Xero</t>
        </is>
      </c>
      <c r="M19" s="8" t="inlineStr">
        <is>
          <t>RES-0015</t>
        </is>
      </c>
      <c r="N19" s="8" t="inlineStr">
        <is>
          <t>Final</t>
        </is>
      </c>
      <c r="O19" s="9" t="n">
        <v>2372.81</v>
      </c>
      <c r="P19" s="9" t="n">
        <v>2372.81</v>
      </c>
    </row>
    <row r="20">
      <c r="A20" s="8" t="inlineStr">
        <is>
          <t>inv-0016</t>
        </is>
      </c>
      <c r="B20" s="8" t="inlineStr">
        <is>
          <t>INV-2016</t>
        </is>
      </c>
      <c r="C20" s="8" t="inlineStr">
        <is>
          <t>Talbot Freight</t>
        </is>
      </c>
      <c r="D20" s="8" t="inlineStr">
        <is>
          <t>AUTHORISED</t>
        </is>
      </c>
      <c r="E20" s="8" t="inlineStr">
        <is>
          <t>2026-02-09</t>
        </is>
      </c>
      <c r="F20" s="8" t="inlineStr">
        <is>
          <t>2026-02-23</t>
        </is>
      </c>
      <c r="G20" s="9" t="n">
        <v>3376.36</v>
      </c>
      <c r="H20" s="9" t="n">
        <v>3376.36</v>
      </c>
      <c r="I20" s="9" t="n">
        <v>0</v>
      </c>
      <c r="J20" s="8" t="inlineStr">
        <is>
          <t>AUD</t>
        </is>
      </c>
      <c r="K20" s="8" t="inlineStr">
        <is>
          <t>Deposit — Talbot Freight</t>
        </is>
      </c>
      <c r="L20" s="8" t="inlineStr">
        <is>
          <t>Xero</t>
        </is>
      </c>
      <c r="M20" s="8" t="inlineStr">
        <is>
          <t>RES-0016</t>
        </is>
      </c>
      <c r="N20" s="8" t="inlineStr">
        <is>
          <t>Deposit</t>
        </is>
      </c>
      <c r="O20" s="9" t="n">
        <v>3376.36</v>
      </c>
      <c r="P20" s="9" t="n">
        <v>0</v>
      </c>
    </row>
    <row r="21">
      <c r="A21" s="8" t="inlineStr">
        <is>
          <t>inv-0017</t>
        </is>
      </c>
      <c r="B21" s="8" t="inlineStr">
        <is>
          <t>INV-2017</t>
        </is>
      </c>
      <c r="C21" s="8" t="inlineStr">
        <is>
          <t>Kingsway Pharmacy</t>
        </is>
      </c>
      <c r="D21" s="8" t="inlineStr">
        <is>
          <t>PAID</t>
        </is>
      </c>
      <c r="E21" s="8" t="inlineStr">
        <is>
          <t>2026-02-11</t>
        </is>
      </c>
      <c r="F21" s="8" t="inlineStr">
        <is>
          <t>2026-02-25</t>
        </is>
      </c>
      <c r="G21" s="9" t="n">
        <v>614.83</v>
      </c>
      <c r="H21" s="9" t="n">
        <v>0</v>
      </c>
      <c r="I21" s="9" t="n">
        <v>614.83</v>
      </c>
      <c r="J21" s="8" t="inlineStr">
        <is>
          <t>AUD</t>
        </is>
      </c>
      <c r="K21" s="8" t="inlineStr">
        <is>
          <t>Progress claim 1 — Kingsway Pharmacy</t>
        </is>
      </c>
      <c r="L21" s="8" t="inlineStr">
        <is>
          <t>Xero</t>
        </is>
      </c>
      <c r="M21" s="9" t="n">
        <v/>
      </c>
      <c r="N21" s="8" t="inlineStr">
        <is>
          <t>Unassigned</t>
        </is>
      </c>
      <c r="O21" s="9" t="n">
        <v/>
      </c>
      <c r="P21" s="9" t="n">
        <v/>
      </c>
    </row>
    <row r="22">
      <c r="A22" s="8" t="inlineStr">
        <is>
          <t>inv-0018</t>
        </is>
      </c>
      <c r="B22" s="8" t="inlineStr">
        <is>
          <t>INV-2018</t>
        </is>
      </c>
      <c r="C22" s="8" t="inlineStr">
        <is>
          <t>Silverfern Studios</t>
        </is>
      </c>
      <c r="D22" s="8" t="inlineStr">
        <is>
          <t>PAID</t>
        </is>
      </c>
      <c r="E22" s="8" t="inlineStr">
        <is>
          <t>2026-02-13</t>
        </is>
      </c>
      <c r="F22" s="8" t="inlineStr">
        <is>
          <t>2026-02-27</t>
        </is>
      </c>
      <c r="G22" s="9" t="n">
        <v>6069.06</v>
      </c>
      <c r="H22" s="9" t="n">
        <v>0</v>
      </c>
      <c r="I22" s="9" t="n">
        <v>6069.06</v>
      </c>
      <c r="J22" s="8" t="inlineStr">
        <is>
          <t>AUD</t>
        </is>
      </c>
      <c r="K22" s="8" t="inlineStr">
        <is>
          <t>Progress claim 2 — Silverfern Studios</t>
        </is>
      </c>
      <c r="L22" s="8" t="inlineStr">
        <is>
          <t>Xero</t>
        </is>
      </c>
      <c r="M22" s="8" t="inlineStr">
        <is>
          <t>RES-0018</t>
        </is>
      </c>
      <c r="N22" s="8" t="inlineStr">
        <is>
          <t>Progress claim 2</t>
        </is>
      </c>
      <c r="O22" s="9" t="n">
        <v>6069.06</v>
      </c>
      <c r="P22" s="9" t="n">
        <v>6069.06</v>
      </c>
    </row>
    <row r="23">
      <c r="A23" s="8" t="inlineStr">
        <is>
          <t>inv-0019</t>
        </is>
      </c>
      <c r="B23" s="8" t="inlineStr">
        <is>
          <t>INV-2019</t>
        </is>
      </c>
      <c r="C23" s="8" t="inlineStr">
        <is>
          <t>Hollis Constructions</t>
        </is>
      </c>
      <c r="D23" s="8" t="inlineStr">
        <is>
          <t>PAID</t>
        </is>
      </c>
      <c r="E23" s="8" t="inlineStr">
        <is>
          <t>2026-02-15</t>
        </is>
      </c>
      <c r="F23" s="8" t="inlineStr">
        <is>
          <t>2026-03-01</t>
        </is>
      </c>
      <c r="G23" s="9" t="n">
        <v>9640.959999999999</v>
      </c>
      <c r="H23" s="9" t="n">
        <v>0</v>
      </c>
      <c r="I23" s="9" t="n">
        <v>9640.959999999999</v>
      </c>
      <c r="J23" s="8" t="inlineStr">
        <is>
          <t>AUD</t>
        </is>
      </c>
      <c r="K23" s="8" t="inlineStr">
        <is>
          <t>Final — Hollis Constructions</t>
        </is>
      </c>
      <c r="L23" s="8" t="inlineStr">
        <is>
          <t>Xero</t>
        </is>
      </c>
      <c r="M23" s="8" t="inlineStr">
        <is>
          <t>RES-0019</t>
        </is>
      </c>
      <c r="N23" s="8" t="inlineStr">
        <is>
          <t>Final</t>
        </is>
      </c>
      <c r="O23" s="9" t="n">
        <v>9640.959999999999</v>
      </c>
      <c r="P23" s="9" t="n">
        <v>9640.959999999999</v>
      </c>
    </row>
    <row r="24">
      <c r="A24" s="8" t="inlineStr">
        <is>
          <t>inv-0020</t>
        </is>
      </c>
      <c r="B24" s="8" t="inlineStr">
        <is>
          <t>INV-2020</t>
        </is>
      </c>
      <c r="C24" s="8" t="inlineStr">
        <is>
          <t>Northgate Property Group</t>
        </is>
      </c>
      <c r="D24" s="8" t="inlineStr">
        <is>
          <t>PAID</t>
        </is>
      </c>
      <c r="E24" s="8" t="inlineStr">
        <is>
          <t>2026-02-17</t>
        </is>
      </c>
      <c r="F24" s="8" t="inlineStr">
        <is>
          <t>2026-03-03</t>
        </is>
      </c>
      <c r="G24" s="9" t="n">
        <v>8591.9</v>
      </c>
      <c r="H24" s="9" t="n">
        <v>0</v>
      </c>
      <c r="I24" s="9" t="n">
        <v>8591.9</v>
      </c>
      <c r="J24" s="8" t="inlineStr">
        <is>
          <t>AUD</t>
        </is>
      </c>
      <c r="K24" s="8" t="inlineStr">
        <is>
          <t>Deposit — Northgate Property Group</t>
        </is>
      </c>
      <c r="L24" s="8" t="inlineStr">
        <is>
          <t>Xero</t>
        </is>
      </c>
      <c r="M24" s="8" t="inlineStr">
        <is>
          <t>RES-0020</t>
        </is>
      </c>
      <c r="N24" s="8" t="inlineStr">
        <is>
          <t>Deposit</t>
        </is>
      </c>
      <c r="O24" s="9" t="n">
        <v>8591.9</v>
      </c>
      <c r="P24" s="9" t="n">
        <v>8591.9</v>
      </c>
    </row>
    <row r="25">
      <c r="A25" s="8" t="inlineStr">
        <is>
          <t>inv-0021</t>
        </is>
      </c>
      <c r="B25" s="8" t="inlineStr">
        <is>
          <t>INV-2021</t>
        </is>
      </c>
      <c r="C25" s="8" t="inlineStr">
        <is>
          <t>Harbourline Logistics</t>
        </is>
      </c>
      <c r="D25" s="8" t="inlineStr">
        <is>
          <t>PAID</t>
        </is>
      </c>
      <c r="E25" s="8" t="inlineStr">
        <is>
          <t>2026-02-19</t>
        </is>
      </c>
      <c r="F25" s="8" t="inlineStr">
        <is>
          <t>2026-03-05</t>
        </is>
      </c>
      <c r="G25" s="9" t="n">
        <v>8009.52</v>
      </c>
      <c r="H25" s="9" t="n">
        <v>0</v>
      </c>
      <c r="I25" s="9" t="n">
        <v>8009.52</v>
      </c>
      <c r="J25" s="8" t="inlineStr">
        <is>
          <t>AUD</t>
        </is>
      </c>
      <c r="K25" s="8" t="inlineStr">
        <is>
          <t>Progress claim 1 — Harbourline Logistics</t>
        </is>
      </c>
      <c r="L25" s="8" t="inlineStr">
        <is>
          <t>Xero</t>
        </is>
      </c>
      <c r="M25" s="8" t="inlineStr">
        <is>
          <t>RES-0021</t>
        </is>
      </c>
      <c r="N25" s="8" t="inlineStr">
        <is>
          <t>Progress claim 1</t>
        </is>
      </c>
      <c r="O25" s="9" t="n">
        <v>8009.52</v>
      </c>
      <c r="P25" s="9" t="n">
        <v>8009.52</v>
      </c>
    </row>
    <row r="26">
      <c r="A26" s="8" t="inlineStr">
        <is>
          <t>inv-0022</t>
        </is>
      </c>
      <c r="B26" s="8" t="inlineStr">
        <is>
          <t>INV-2022</t>
        </is>
      </c>
      <c r="C26" s="8" t="inlineStr">
        <is>
          <t>Cedar &amp; Co Accountants</t>
        </is>
      </c>
      <c r="D26" s="8" t="inlineStr">
        <is>
          <t>AUTHORISED</t>
        </is>
      </c>
      <c r="E26" s="8" t="inlineStr">
        <is>
          <t>2026-02-21</t>
        </is>
      </c>
      <c r="F26" s="8" t="inlineStr">
        <is>
          <t>2026-03-07</t>
        </is>
      </c>
      <c r="G26" s="9" t="n">
        <v>2267.04</v>
      </c>
      <c r="H26" s="9" t="n">
        <v>2267.04</v>
      </c>
      <c r="I26" s="9" t="n">
        <v>0</v>
      </c>
      <c r="J26" s="8" t="inlineStr">
        <is>
          <t>AUD</t>
        </is>
      </c>
      <c r="K26" s="8" t="inlineStr">
        <is>
          <t>Progress claim 2 — Cedar &amp; Co Accountants</t>
        </is>
      </c>
      <c r="L26" s="8" t="inlineStr">
        <is>
          <t>Xero</t>
        </is>
      </c>
      <c r="M26" s="8" t="inlineStr">
        <is>
          <t>RES-0022</t>
        </is>
      </c>
      <c r="N26" s="8" t="inlineStr">
        <is>
          <t>Progress claim 2</t>
        </is>
      </c>
      <c r="O26" s="9" t="n">
        <v>2267.04</v>
      </c>
      <c r="P26" s="9" t="n">
        <v>0</v>
      </c>
    </row>
    <row r="27">
      <c r="A27" s="8" t="inlineStr">
        <is>
          <t>inv-0023</t>
        </is>
      </c>
      <c r="B27" s="8" t="inlineStr">
        <is>
          <t>INV-2023</t>
        </is>
      </c>
      <c r="C27" s="8" t="inlineStr">
        <is>
          <t>Ridgeline Electrical</t>
        </is>
      </c>
      <c r="D27" s="8" t="inlineStr">
        <is>
          <t>PAID</t>
        </is>
      </c>
      <c r="E27" s="8" t="inlineStr">
        <is>
          <t>2026-02-23</t>
        </is>
      </c>
      <c r="F27" s="8" t="inlineStr">
        <is>
          <t>2026-03-09</t>
        </is>
      </c>
      <c r="G27" s="9" t="n">
        <v>2358.43</v>
      </c>
      <c r="H27" s="9" t="n">
        <v>0</v>
      </c>
      <c r="I27" s="9" t="n">
        <v>2358.43</v>
      </c>
      <c r="J27" s="8" t="inlineStr">
        <is>
          <t>AUD</t>
        </is>
      </c>
      <c r="K27" s="8" t="inlineStr">
        <is>
          <t>Final — Ridgeline Electrical</t>
        </is>
      </c>
      <c r="L27" s="8" t="inlineStr">
        <is>
          <t>Xero</t>
        </is>
      </c>
      <c r="M27" s="8" t="inlineStr">
        <is>
          <t>RES-0023</t>
        </is>
      </c>
      <c r="N27" s="8" t="inlineStr">
        <is>
          <t>Final</t>
        </is>
      </c>
      <c r="O27" s="9" t="n">
        <v>2358.43</v>
      </c>
      <c r="P27" s="9" t="n">
        <v>2358.43</v>
      </c>
    </row>
    <row r="28">
      <c r="A28" s="8" t="inlineStr">
        <is>
          <t>inv-0024</t>
        </is>
      </c>
      <c r="B28" s="8" t="inlineStr">
        <is>
          <t>INV-2024</t>
        </is>
      </c>
      <c r="C28" s="8" t="inlineStr">
        <is>
          <t>Bluewater Dental</t>
        </is>
      </c>
      <c r="D28" s="8" t="inlineStr">
        <is>
          <t>PAID</t>
        </is>
      </c>
      <c r="E28" s="8" t="inlineStr">
        <is>
          <t>2026-02-25</t>
        </is>
      </c>
      <c r="F28" s="8" t="inlineStr">
        <is>
          <t>2026-03-11</t>
        </is>
      </c>
      <c r="G28" s="9" t="n">
        <v>6416.74</v>
      </c>
      <c r="H28" s="9" t="n">
        <v>0</v>
      </c>
      <c r="I28" s="9" t="n">
        <v>6416.74</v>
      </c>
      <c r="J28" s="8" t="inlineStr">
        <is>
          <t>AUD</t>
        </is>
      </c>
      <c r="K28" s="8" t="inlineStr">
        <is>
          <t>Deposit — Bluewater Dental</t>
        </is>
      </c>
      <c r="L28" s="8" t="inlineStr">
        <is>
          <t>Xero</t>
        </is>
      </c>
      <c r="M28" s="9" t="n">
        <v/>
      </c>
      <c r="N28" s="8" t="inlineStr">
        <is>
          <t>Unassigned</t>
        </is>
      </c>
      <c r="O28" s="9" t="n">
        <v/>
      </c>
      <c r="P28" s="9" t="n">
        <v/>
      </c>
    </row>
    <row r="29">
      <c r="A29" s="8" t="inlineStr">
        <is>
          <t>inv-0025</t>
        </is>
      </c>
      <c r="B29" s="8" t="inlineStr">
        <is>
          <t>INV-2025</t>
        </is>
      </c>
      <c r="C29" s="8" t="inlineStr">
        <is>
          <t>Meridian Fitouts</t>
        </is>
      </c>
      <c r="D29" s="8" t="inlineStr">
        <is>
          <t>PAID</t>
        </is>
      </c>
      <c r="E29" s="8" t="inlineStr">
        <is>
          <t>2026-02-27</t>
        </is>
      </c>
      <c r="F29" s="8" t="inlineStr">
        <is>
          <t>2026-03-13</t>
        </is>
      </c>
      <c r="G29" s="9" t="n">
        <v>5568.61</v>
      </c>
      <c r="H29" s="9" t="n">
        <v>0</v>
      </c>
      <c r="I29" s="9" t="n">
        <v>5568.61</v>
      </c>
      <c r="J29" s="8" t="inlineStr">
        <is>
          <t>AUD</t>
        </is>
      </c>
      <c r="K29" s="8" t="inlineStr">
        <is>
          <t>Progress claim 1 — Meridian Fitouts</t>
        </is>
      </c>
      <c r="L29" s="8" t="inlineStr">
        <is>
          <t>Xero</t>
        </is>
      </c>
      <c r="M29" s="8" t="inlineStr">
        <is>
          <t>RES-0025</t>
        </is>
      </c>
      <c r="N29" s="8" t="inlineStr">
        <is>
          <t>Progress claim 1</t>
        </is>
      </c>
      <c r="O29" s="9" t="n">
        <v>5568.61</v>
      </c>
      <c r="P29" s="9" t="n">
        <v>5568.61</v>
      </c>
    </row>
    <row r="30">
      <c r="A30" s="8" t="inlineStr">
        <is>
          <t>inv-0026</t>
        </is>
      </c>
      <c r="B30" s="8" t="inlineStr">
        <is>
          <t>INV-2026</t>
        </is>
      </c>
      <c r="C30" s="8" t="inlineStr">
        <is>
          <t>Talbot Freight</t>
        </is>
      </c>
      <c r="D30" s="8" t="inlineStr">
        <is>
          <t>PAID</t>
        </is>
      </c>
      <c r="E30" s="8" t="inlineStr">
        <is>
          <t>2026-03-01</t>
        </is>
      </c>
      <c r="F30" s="8" t="inlineStr">
        <is>
          <t>2026-03-15</t>
        </is>
      </c>
      <c r="G30" s="9" t="n">
        <v>1260.42</v>
      </c>
      <c r="H30" s="9" t="n">
        <v>0</v>
      </c>
      <c r="I30" s="9" t="n">
        <v>1260.42</v>
      </c>
      <c r="J30" s="8" t="inlineStr">
        <is>
          <t>AUD</t>
        </is>
      </c>
      <c r="K30" s="8" t="inlineStr">
        <is>
          <t>Progress claim 2 — Talbot Freight</t>
        </is>
      </c>
      <c r="L30" s="8" t="inlineStr">
        <is>
          <t>Xero</t>
        </is>
      </c>
      <c r="M30" s="8" t="inlineStr">
        <is>
          <t>RES-0026</t>
        </is>
      </c>
      <c r="N30" s="8" t="inlineStr">
        <is>
          <t>Progress claim 2</t>
        </is>
      </c>
      <c r="O30" s="9" t="n">
        <v>1260.42</v>
      </c>
      <c r="P30" s="9" t="n">
        <v>1260.42</v>
      </c>
    </row>
    <row r="31">
      <c r="A31" s="8" t="inlineStr">
        <is>
          <t>inv-0027</t>
        </is>
      </c>
      <c r="B31" s="8" t="inlineStr">
        <is>
          <t>INV-2027</t>
        </is>
      </c>
      <c r="C31" s="8" t="inlineStr">
        <is>
          <t>Kingsway Pharmacy</t>
        </is>
      </c>
      <c r="D31" s="8" t="inlineStr">
        <is>
          <t>PAID</t>
        </is>
      </c>
      <c r="E31" s="8" t="inlineStr">
        <is>
          <t>2026-03-03</t>
        </is>
      </c>
      <c r="F31" s="8" t="inlineStr">
        <is>
          <t>2026-03-17</t>
        </is>
      </c>
      <c r="G31" s="9" t="n">
        <v>6408.63</v>
      </c>
      <c r="H31" s="9" t="n">
        <v>0</v>
      </c>
      <c r="I31" s="9" t="n">
        <v>6408.63</v>
      </c>
      <c r="J31" s="8" t="inlineStr">
        <is>
          <t>AUD</t>
        </is>
      </c>
      <c r="K31" s="8" t="inlineStr">
        <is>
          <t>Final — Kingsway Pharmacy</t>
        </is>
      </c>
      <c r="L31" s="8" t="inlineStr">
        <is>
          <t>Xero</t>
        </is>
      </c>
      <c r="M31" s="8" t="inlineStr">
        <is>
          <t>RES-0027</t>
        </is>
      </c>
      <c r="N31" s="8" t="inlineStr">
        <is>
          <t>Final</t>
        </is>
      </c>
      <c r="O31" s="9" t="n">
        <v>6408.63</v>
      </c>
      <c r="P31" s="9" t="n">
        <v>6408.63</v>
      </c>
    </row>
    <row r="32">
      <c r="A32" s="8" t="inlineStr">
        <is>
          <t>inv-0028</t>
        </is>
      </c>
      <c r="B32" s="8" t="inlineStr">
        <is>
          <t>INV-2028</t>
        </is>
      </c>
      <c r="C32" s="8" t="inlineStr">
        <is>
          <t>Silverfern Studios</t>
        </is>
      </c>
      <c r="D32" s="8" t="inlineStr">
        <is>
          <t>PAID</t>
        </is>
      </c>
      <c r="E32" s="8" t="inlineStr">
        <is>
          <t>2026-03-05</t>
        </is>
      </c>
      <c r="F32" s="8" t="inlineStr">
        <is>
          <t>2026-03-19</t>
        </is>
      </c>
      <c r="G32" s="9" t="n">
        <v>2871.54</v>
      </c>
      <c r="H32" s="9" t="n">
        <v>0</v>
      </c>
      <c r="I32" s="9" t="n">
        <v>2871.54</v>
      </c>
      <c r="J32" s="8" t="inlineStr">
        <is>
          <t>AUD</t>
        </is>
      </c>
      <c r="K32" s="8" t="inlineStr">
        <is>
          <t>Deposit — Silverfern Studios</t>
        </is>
      </c>
      <c r="L32" s="8" t="inlineStr">
        <is>
          <t>Xero</t>
        </is>
      </c>
      <c r="M32" s="8" t="inlineStr">
        <is>
          <t>RES-0028</t>
        </is>
      </c>
      <c r="N32" s="8" t="inlineStr">
        <is>
          <t>Deposit</t>
        </is>
      </c>
      <c r="O32" s="9" t="n">
        <v>2871.54</v>
      </c>
      <c r="P32" s="9" t="n">
        <v>2871.54</v>
      </c>
    </row>
    <row r="33">
      <c r="A33" s="8" t="inlineStr">
        <is>
          <t>inv-0029</t>
        </is>
      </c>
      <c r="B33" s="8" t="inlineStr">
        <is>
          <t>INV-2029</t>
        </is>
      </c>
      <c r="C33" s="8" t="inlineStr">
        <is>
          <t>Hollis Constructions</t>
        </is>
      </c>
      <c r="D33" s="8" t="inlineStr">
        <is>
          <t>PAID</t>
        </is>
      </c>
      <c r="E33" s="8" t="inlineStr">
        <is>
          <t>2026-03-07</t>
        </is>
      </c>
      <c r="F33" s="8" t="inlineStr">
        <is>
          <t>2026-03-21</t>
        </is>
      </c>
      <c r="G33" s="9" t="n">
        <v>8630.870000000001</v>
      </c>
      <c r="H33" s="9" t="n">
        <v>0</v>
      </c>
      <c r="I33" s="9" t="n">
        <v>8630.870000000001</v>
      </c>
      <c r="J33" s="8" t="inlineStr">
        <is>
          <t>AUD</t>
        </is>
      </c>
      <c r="K33" s="8" t="inlineStr">
        <is>
          <t>Progress claim 1 — Hollis Constructions</t>
        </is>
      </c>
      <c r="L33" s="8" t="inlineStr">
        <is>
          <t>Xero</t>
        </is>
      </c>
      <c r="M33" s="8" t="inlineStr">
        <is>
          <t>RES-0029</t>
        </is>
      </c>
      <c r="N33" s="8" t="inlineStr">
        <is>
          <t>Progress claim 1</t>
        </is>
      </c>
      <c r="O33" s="9" t="n">
        <v>8630.870000000001</v>
      </c>
      <c r="P33" s="9" t="n">
        <v>8630.870000000001</v>
      </c>
    </row>
    <row r="34">
      <c r="A34" s="8" t="inlineStr">
        <is>
          <t>inv-0030</t>
        </is>
      </c>
      <c r="B34" s="8" t="inlineStr">
        <is>
          <t>INV-2030</t>
        </is>
      </c>
      <c r="C34" s="8" t="inlineStr">
        <is>
          <t>Northgate Property Group</t>
        </is>
      </c>
      <c r="D34" s="8" t="inlineStr">
        <is>
          <t>PAID</t>
        </is>
      </c>
      <c r="E34" s="8" t="inlineStr">
        <is>
          <t>2026-03-09</t>
        </is>
      </c>
      <c r="F34" s="8" t="inlineStr">
        <is>
          <t>2026-03-23</t>
        </is>
      </c>
      <c r="G34" s="9" t="n">
        <v>6009.2</v>
      </c>
      <c r="H34" s="9" t="n">
        <v>0</v>
      </c>
      <c r="I34" s="9" t="n">
        <v>6009.2</v>
      </c>
      <c r="J34" s="8" t="inlineStr">
        <is>
          <t>AUD</t>
        </is>
      </c>
      <c r="K34" s="8" t="inlineStr">
        <is>
          <t>Progress claim 2 — Northgate Property Group</t>
        </is>
      </c>
      <c r="L34" s="8" t="inlineStr">
        <is>
          <t>Xero</t>
        </is>
      </c>
      <c r="M34" s="8" t="inlineStr">
        <is>
          <t>RES-0030</t>
        </is>
      </c>
      <c r="N34" s="8" t="inlineStr">
        <is>
          <t>Progress claim 2</t>
        </is>
      </c>
      <c r="O34" s="9" t="n">
        <v>6009.2</v>
      </c>
      <c r="P34" s="9" t="n">
        <v>6009.2</v>
      </c>
    </row>
    <row r="35">
      <c r="A35" s="8" t="inlineStr">
        <is>
          <t>inv-0031</t>
        </is>
      </c>
      <c r="B35" s="8" t="inlineStr">
        <is>
          <t>INV-2031</t>
        </is>
      </c>
      <c r="C35" s="8" t="inlineStr">
        <is>
          <t>Harbourline Logistics</t>
        </is>
      </c>
      <c r="D35" s="8" t="inlineStr">
        <is>
          <t>SUBMITTED</t>
        </is>
      </c>
      <c r="E35" s="8" t="inlineStr">
        <is>
          <t>2026-03-11</t>
        </is>
      </c>
      <c r="F35" s="8" t="inlineStr">
        <is>
          <t>2026-03-25</t>
        </is>
      </c>
      <c r="G35" s="9" t="n">
        <v>3518.6</v>
      </c>
      <c r="H35" s="9" t="n">
        <v>3518.6</v>
      </c>
      <c r="I35" s="9" t="n">
        <v>0</v>
      </c>
      <c r="J35" s="8" t="inlineStr">
        <is>
          <t>AUD</t>
        </is>
      </c>
      <c r="K35" s="8" t="inlineStr">
        <is>
          <t>Final — Harbourline Logistics</t>
        </is>
      </c>
      <c r="L35" s="8" t="inlineStr">
        <is>
          <t>Xero</t>
        </is>
      </c>
      <c r="M35" s="9" t="n">
        <v/>
      </c>
      <c r="N35" s="8" t="inlineStr">
        <is>
          <t>Unassigned</t>
        </is>
      </c>
      <c r="O35" s="9" t="n">
        <v/>
      </c>
      <c r="P35" s="9" t="n">
        <v/>
      </c>
    </row>
    <row r="36">
      <c r="A36" s="8" t="inlineStr">
        <is>
          <t>inv-0032</t>
        </is>
      </c>
      <c r="B36" s="8" t="inlineStr">
        <is>
          <t>INV-2032</t>
        </is>
      </c>
      <c r="C36" s="8" t="inlineStr">
        <is>
          <t>Cedar &amp; Co Accountants</t>
        </is>
      </c>
      <c r="D36" s="8" t="inlineStr">
        <is>
          <t>PAID</t>
        </is>
      </c>
      <c r="E36" s="8" t="inlineStr">
        <is>
          <t>2026-03-13</t>
        </is>
      </c>
      <c r="F36" s="8" t="inlineStr">
        <is>
          <t>2026-03-27</t>
        </is>
      </c>
      <c r="G36" s="9" t="n">
        <v>8635.299999999999</v>
      </c>
      <c r="H36" s="9" t="n">
        <v>0</v>
      </c>
      <c r="I36" s="9" t="n">
        <v>8635.299999999999</v>
      </c>
      <c r="J36" s="8" t="inlineStr">
        <is>
          <t>AUD</t>
        </is>
      </c>
      <c r="K36" s="8" t="inlineStr">
        <is>
          <t>Deposit — Cedar &amp; Co Accountants</t>
        </is>
      </c>
      <c r="L36" s="8" t="inlineStr">
        <is>
          <t>Xero</t>
        </is>
      </c>
      <c r="M36" s="8" t="inlineStr">
        <is>
          <t>RES-0032</t>
        </is>
      </c>
      <c r="N36" s="8" t="inlineStr">
        <is>
          <t>Deposit</t>
        </is>
      </c>
      <c r="O36" s="9" t="n">
        <v>8635.299999999999</v>
      </c>
      <c r="P36" s="9" t="n">
        <v>8635.299999999999</v>
      </c>
    </row>
    <row r="37">
      <c r="A37" s="8" t="inlineStr">
        <is>
          <t>inv-0033</t>
        </is>
      </c>
      <c r="B37" s="8" t="inlineStr">
        <is>
          <t>INV-2033</t>
        </is>
      </c>
      <c r="C37" s="8" t="inlineStr">
        <is>
          <t>Ridgeline Electrical</t>
        </is>
      </c>
      <c r="D37" s="8" t="inlineStr">
        <is>
          <t>SUBMITTED</t>
        </is>
      </c>
      <c r="E37" s="8" t="inlineStr">
        <is>
          <t>2026-03-15</t>
        </is>
      </c>
      <c r="F37" s="8" t="inlineStr">
        <is>
          <t>2026-03-29</t>
        </is>
      </c>
      <c r="G37" s="9" t="n">
        <v>7682.29</v>
      </c>
      <c r="H37" s="9" t="n">
        <v>7682.29</v>
      </c>
      <c r="I37" s="9" t="n">
        <v>0</v>
      </c>
      <c r="J37" s="8" t="inlineStr">
        <is>
          <t>AUD</t>
        </is>
      </c>
      <c r="K37" s="8" t="inlineStr">
        <is>
          <t>Progress claim 1 — Ridgeline Electrical</t>
        </is>
      </c>
      <c r="L37" s="8" t="inlineStr">
        <is>
          <t>Xero</t>
        </is>
      </c>
      <c r="M37" s="8" t="inlineStr">
        <is>
          <t>RES-0033</t>
        </is>
      </c>
      <c r="N37" s="8" t="inlineStr">
        <is>
          <t>Progress claim 1</t>
        </is>
      </c>
      <c r="O37" s="9" t="n">
        <v>7682.29</v>
      </c>
      <c r="P37" s="9" t="n">
        <v>0</v>
      </c>
    </row>
    <row r="38">
      <c r="A38" s="8" t="inlineStr">
        <is>
          <t>inv-0034</t>
        </is>
      </c>
      <c r="B38" s="8" t="inlineStr">
        <is>
          <t>INV-2034</t>
        </is>
      </c>
      <c r="C38" s="8" t="inlineStr">
        <is>
          <t>Bluewater Dental</t>
        </is>
      </c>
      <c r="D38" s="8" t="inlineStr">
        <is>
          <t>PAID</t>
        </is>
      </c>
      <c r="E38" s="8" t="inlineStr">
        <is>
          <t>2026-03-17</t>
        </is>
      </c>
      <c r="F38" s="8" t="inlineStr">
        <is>
          <t>2026-03-31</t>
        </is>
      </c>
      <c r="G38" s="9" t="n">
        <v>2420.45</v>
      </c>
      <c r="H38" s="9" t="n">
        <v>0</v>
      </c>
      <c r="I38" s="9" t="n">
        <v>2420.45</v>
      </c>
      <c r="J38" s="8" t="inlineStr">
        <is>
          <t>AUD</t>
        </is>
      </c>
      <c r="K38" s="8" t="inlineStr">
        <is>
          <t>Progress claim 2 — Bluewater Dental</t>
        </is>
      </c>
      <c r="L38" s="8" t="inlineStr">
        <is>
          <t>Xero</t>
        </is>
      </c>
      <c r="M38" s="8" t="inlineStr">
        <is>
          <t>RES-0034</t>
        </is>
      </c>
      <c r="N38" s="8" t="inlineStr">
        <is>
          <t>Progress claim 2</t>
        </is>
      </c>
      <c r="O38" s="9" t="n">
        <v>2420.45</v>
      </c>
      <c r="P38" s="9" t="n">
        <v>2420.45</v>
      </c>
    </row>
    <row r="39">
      <c r="A39" s="8" t="inlineStr">
        <is>
          <t>inv-0035</t>
        </is>
      </c>
      <c r="B39" s="8" t="inlineStr">
        <is>
          <t>INV-2035</t>
        </is>
      </c>
      <c r="C39" s="8" t="inlineStr">
        <is>
          <t>Meridian Fitouts</t>
        </is>
      </c>
      <c r="D39" s="8" t="inlineStr">
        <is>
          <t>PAID</t>
        </is>
      </c>
      <c r="E39" s="8" t="inlineStr">
        <is>
          <t>2026-03-19</t>
        </is>
      </c>
      <c r="F39" s="8" t="inlineStr">
        <is>
          <t>2026-04-02</t>
        </is>
      </c>
      <c r="G39" s="9" t="n">
        <v>5417.16</v>
      </c>
      <c r="H39" s="9" t="n">
        <v>0</v>
      </c>
      <c r="I39" s="9" t="n">
        <v>5417.16</v>
      </c>
      <c r="J39" s="8" t="inlineStr">
        <is>
          <t>AUD</t>
        </is>
      </c>
      <c r="K39" s="8" t="inlineStr">
        <is>
          <t>Final — Meridian Fitouts</t>
        </is>
      </c>
      <c r="L39" s="8" t="inlineStr">
        <is>
          <t>Xero</t>
        </is>
      </c>
      <c r="M39" s="8" t="inlineStr">
        <is>
          <t>RES-0035</t>
        </is>
      </c>
      <c r="N39" s="8" t="inlineStr">
        <is>
          <t>Final</t>
        </is>
      </c>
      <c r="O39" s="9" t="n">
        <v>5417.16</v>
      </c>
      <c r="P39" s="9" t="n">
        <v>5417.16</v>
      </c>
    </row>
    <row r="40">
      <c r="A40" s="8" t="inlineStr">
        <is>
          <t>inv-0036</t>
        </is>
      </c>
      <c r="B40" s="8" t="inlineStr">
        <is>
          <t>INV-2036</t>
        </is>
      </c>
      <c r="C40" s="8" t="inlineStr">
        <is>
          <t>Talbot Freight</t>
        </is>
      </c>
      <c r="D40" s="8" t="inlineStr">
        <is>
          <t>SUBMITTED</t>
        </is>
      </c>
      <c r="E40" s="8" t="inlineStr">
        <is>
          <t>2026-03-21</t>
        </is>
      </c>
      <c r="F40" s="8" t="inlineStr">
        <is>
          <t>2026-04-04</t>
        </is>
      </c>
      <c r="G40" s="9" t="n">
        <v>755.73</v>
      </c>
      <c r="H40" s="9" t="n">
        <v>755.73</v>
      </c>
      <c r="I40" s="9" t="n">
        <v>0</v>
      </c>
      <c r="J40" s="8" t="inlineStr">
        <is>
          <t>AUD</t>
        </is>
      </c>
      <c r="K40" s="8" t="inlineStr">
        <is>
          <t>Deposit — Talbot Freight</t>
        </is>
      </c>
      <c r="L40" s="8" t="inlineStr">
        <is>
          <t>Xero</t>
        </is>
      </c>
      <c r="M40" s="8" t="inlineStr">
        <is>
          <t>RES-0036</t>
        </is>
      </c>
      <c r="N40" s="8" t="inlineStr">
        <is>
          <t>Deposit</t>
        </is>
      </c>
      <c r="O40" s="9" t="n">
        <v>755.73</v>
      </c>
      <c r="P40" s="9" t="n">
        <v>0</v>
      </c>
    </row>
    <row r="41">
      <c r="A41" s="8" t="inlineStr">
        <is>
          <t>inv-0037</t>
        </is>
      </c>
      <c r="B41" s="8" t="inlineStr">
        <is>
          <t>INV-2037</t>
        </is>
      </c>
      <c r="C41" s="8" t="inlineStr">
        <is>
          <t>Kingsway Pharmacy</t>
        </is>
      </c>
      <c r="D41" s="8" t="inlineStr">
        <is>
          <t>SUBMITTED</t>
        </is>
      </c>
      <c r="E41" s="8" t="inlineStr">
        <is>
          <t>2026-03-23</t>
        </is>
      </c>
      <c r="F41" s="8" t="inlineStr">
        <is>
          <t>2026-04-06</t>
        </is>
      </c>
      <c r="G41" s="9" t="n">
        <v>795.99</v>
      </c>
      <c r="H41" s="9" t="n">
        <v>795.99</v>
      </c>
      <c r="I41" s="9" t="n">
        <v>0</v>
      </c>
      <c r="J41" s="8" t="inlineStr">
        <is>
          <t>AUD</t>
        </is>
      </c>
      <c r="K41" s="8" t="inlineStr">
        <is>
          <t>Progress claim 1 — Kingsway Pharmacy</t>
        </is>
      </c>
      <c r="L41" s="8" t="inlineStr">
        <is>
          <t>Xero</t>
        </is>
      </c>
      <c r="M41" s="8" t="inlineStr">
        <is>
          <t>RES-0037</t>
        </is>
      </c>
      <c r="N41" s="8" t="inlineStr">
        <is>
          <t>Progress claim 1</t>
        </is>
      </c>
      <c r="O41" s="9" t="n">
        <v>795.99</v>
      </c>
      <c r="P41" s="9" t="n">
        <v>0</v>
      </c>
    </row>
    <row r="42">
      <c r="A42" s="8" t="inlineStr">
        <is>
          <t>inv-0038</t>
        </is>
      </c>
      <c r="B42" s="8" t="inlineStr">
        <is>
          <t>INV-2038</t>
        </is>
      </c>
      <c r="C42" s="8" t="inlineStr">
        <is>
          <t>Silverfern Studios</t>
        </is>
      </c>
      <c r="D42" s="8" t="inlineStr">
        <is>
          <t>AUTHORISED</t>
        </is>
      </c>
      <c r="E42" s="8" t="inlineStr">
        <is>
          <t>2026-03-25</t>
        </is>
      </c>
      <c r="F42" s="8" t="inlineStr">
        <is>
          <t>2026-04-08</t>
        </is>
      </c>
      <c r="G42" s="9" t="n">
        <v>5943.61</v>
      </c>
      <c r="H42" s="9" t="n">
        <v>5943.61</v>
      </c>
      <c r="I42" s="9" t="n">
        <v>0</v>
      </c>
      <c r="J42" s="8" t="inlineStr">
        <is>
          <t>AUD</t>
        </is>
      </c>
      <c r="K42" s="8" t="inlineStr">
        <is>
          <t>Progress claim 2 — Silverfern Studios</t>
        </is>
      </c>
      <c r="L42" s="8" t="inlineStr">
        <is>
          <t>Xero</t>
        </is>
      </c>
      <c r="M42" s="9" t="n">
        <v/>
      </c>
      <c r="N42" s="8" t="inlineStr">
        <is>
          <t>Unassigned</t>
        </is>
      </c>
      <c r="O42" s="9" t="n">
        <v/>
      </c>
      <c r="P42" s="9" t="n">
        <v/>
      </c>
    </row>
    <row r="43">
      <c r="A43" s="8" t="inlineStr">
        <is>
          <t>inv-0039</t>
        </is>
      </c>
      <c r="B43" s="8" t="inlineStr">
        <is>
          <t>INV-2039</t>
        </is>
      </c>
      <c r="C43" s="8" t="inlineStr">
        <is>
          <t>Hollis Constructions</t>
        </is>
      </c>
      <c r="D43" s="8" t="inlineStr">
        <is>
          <t>PAID</t>
        </is>
      </c>
      <c r="E43" s="8" t="inlineStr">
        <is>
          <t>2026-03-27</t>
        </is>
      </c>
      <c r="F43" s="8" t="inlineStr">
        <is>
          <t>2026-04-10</t>
        </is>
      </c>
      <c r="G43" s="9" t="n">
        <v>3765.7</v>
      </c>
      <c r="H43" s="9" t="n">
        <v>0</v>
      </c>
      <c r="I43" s="9" t="n">
        <v>3765.7</v>
      </c>
      <c r="J43" s="8" t="inlineStr">
        <is>
          <t>AUD</t>
        </is>
      </c>
      <c r="K43" s="8" t="inlineStr">
        <is>
          <t>Final — Hollis Constructions</t>
        </is>
      </c>
      <c r="L43" s="8" t="inlineStr">
        <is>
          <t>Xero</t>
        </is>
      </c>
      <c r="M43" s="8" t="inlineStr">
        <is>
          <t>RES-0039</t>
        </is>
      </c>
      <c r="N43" s="8" t="inlineStr">
        <is>
          <t>Final</t>
        </is>
      </c>
      <c r="O43" s="9" t="n">
        <v>3765.7</v>
      </c>
      <c r="P43" s="9" t="n">
        <v>3765.7</v>
      </c>
    </row>
    <row r="44">
      <c r="A44" s="8" t="inlineStr">
        <is>
          <t>inv-0040</t>
        </is>
      </c>
      <c r="B44" s="8" t="inlineStr">
        <is>
          <t>INV-2040</t>
        </is>
      </c>
      <c r="C44" s="8" t="inlineStr">
        <is>
          <t>Northgate Property Group</t>
        </is>
      </c>
      <c r="D44" s="8" t="inlineStr">
        <is>
          <t>AUTHORISED</t>
        </is>
      </c>
      <c r="E44" s="8" t="inlineStr">
        <is>
          <t>2026-03-29</t>
        </is>
      </c>
      <c r="F44" s="8" t="inlineStr">
        <is>
          <t>2026-04-12</t>
        </is>
      </c>
      <c r="G44" s="9" t="n">
        <v>1594.93</v>
      </c>
      <c r="H44" s="9" t="n">
        <v>1594.93</v>
      </c>
      <c r="I44" s="9" t="n">
        <v>0</v>
      </c>
      <c r="J44" s="8" t="inlineStr">
        <is>
          <t>AUD</t>
        </is>
      </c>
      <c r="K44" s="8" t="inlineStr">
        <is>
          <t>Deposit — Northgate Property Group</t>
        </is>
      </c>
      <c r="L44" s="8" t="inlineStr">
        <is>
          <t>Xero</t>
        </is>
      </c>
      <c r="M44" s="8" t="inlineStr">
        <is>
          <t>RES-0040</t>
        </is>
      </c>
      <c r="N44" s="8" t="inlineStr">
        <is>
          <t>Deposit</t>
        </is>
      </c>
      <c r="O44" s="9" t="n">
        <v>1594.93</v>
      </c>
      <c r="P44" s="9" t="n">
        <v>0</v>
      </c>
    </row>
    <row r="45">
      <c r="A45" s="8" t="inlineStr">
        <is>
          <t>inv-0041</t>
        </is>
      </c>
      <c r="B45" s="8" t="inlineStr">
        <is>
          <t>INV-2041</t>
        </is>
      </c>
      <c r="C45" s="8" t="inlineStr">
        <is>
          <t>Harbourline Logistics</t>
        </is>
      </c>
      <c r="D45" s="8" t="inlineStr">
        <is>
          <t>PAID</t>
        </is>
      </c>
      <c r="E45" s="8" t="inlineStr">
        <is>
          <t>2026-03-31</t>
        </is>
      </c>
      <c r="F45" s="8" t="inlineStr">
        <is>
          <t>2026-04-14</t>
        </is>
      </c>
      <c r="G45" s="9" t="n">
        <v>5543.87</v>
      </c>
      <c r="H45" s="9" t="n">
        <v>0</v>
      </c>
      <c r="I45" s="9" t="n">
        <v>5543.87</v>
      </c>
      <c r="J45" s="8" t="inlineStr">
        <is>
          <t>AUD</t>
        </is>
      </c>
      <c r="K45" s="8" t="inlineStr">
        <is>
          <t>Progress claim 1 — Harbourline Logistics</t>
        </is>
      </c>
      <c r="L45" s="8" t="inlineStr">
        <is>
          <t>Xero</t>
        </is>
      </c>
      <c r="M45" s="8" t="inlineStr">
        <is>
          <t>RES-0041</t>
        </is>
      </c>
      <c r="N45" s="8" t="inlineStr">
        <is>
          <t>Progress claim 1</t>
        </is>
      </c>
      <c r="O45" s="9" t="n">
        <v>5543.87</v>
      </c>
      <c r="P45" s="9" t="n">
        <v>5543.87</v>
      </c>
    </row>
    <row r="46">
      <c r="A46" s="8" t="inlineStr">
        <is>
          <t>inv-0042</t>
        </is>
      </c>
      <c r="B46" s="8" t="inlineStr">
        <is>
          <t>INV-2042</t>
        </is>
      </c>
      <c r="C46" s="8" t="inlineStr">
        <is>
          <t>Cedar &amp; Co Accountants</t>
        </is>
      </c>
      <c r="D46" s="8" t="inlineStr">
        <is>
          <t>PAID</t>
        </is>
      </c>
      <c r="E46" s="8" t="inlineStr">
        <is>
          <t>2026-04-02</t>
        </is>
      </c>
      <c r="F46" s="8" t="inlineStr">
        <is>
          <t>2026-04-16</t>
        </is>
      </c>
      <c r="G46" s="9" t="n">
        <v>3587.75</v>
      </c>
      <c r="H46" s="9" t="n">
        <v>0</v>
      </c>
      <c r="I46" s="9" t="n">
        <v>3587.75</v>
      </c>
      <c r="J46" s="8" t="inlineStr">
        <is>
          <t>AUD</t>
        </is>
      </c>
      <c r="K46" s="8" t="inlineStr">
        <is>
          <t>Progress claim 2 — Cedar &amp; Co Accountants</t>
        </is>
      </c>
      <c r="L46" s="8" t="inlineStr">
        <is>
          <t>Xero</t>
        </is>
      </c>
      <c r="M46" s="8" t="inlineStr">
        <is>
          <t>RES-0042</t>
        </is>
      </c>
      <c r="N46" s="8" t="inlineStr">
        <is>
          <t>Progress claim 2</t>
        </is>
      </c>
      <c r="O46" s="9" t="n">
        <v>3587.75</v>
      </c>
      <c r="P46" s="9" t="n">
        <v>3587.75</v>
      </c>
    </row>
    <row r="47">
      <c r="A47" s="8" t="inlineStr">
        <is>
          <t>inv-0043</t>
        </is>
      </c>
      <c r="B47" s="8" t="inlineStr">
        <is>
          <t>INV-2043</t>
        </is>
      </c>
      <c r="C47" s="8" t="inlineStr">
        <is>
          <t>Ridgeline Electrical</t>
        </is>
      </c>
      <c r="D47" s="8" t="inlineStr">
        <is>
          <t>AUTHORISED</t>
        </is>
      </c>
      <c r="E47" s="8" t="inlineStr">
        <is>
          <t>2026-04-04</t>
        </is>
      </c>
      <c r="F47" s="8" t="inlineStr">
        <is>
          <t>2026-04-18</t>
        </is>
      </c>
      <c r="G47" s="9" t="n">
        <v>7493.58</v>
      </c>
      <c r="H47" s="9" t="n">
        <v>7493.58</v>
      </c>
      <c r="I47" s="9" t="n">
        <v>0</v>
      </c>
      <c r="J47" s="8" t="inlineStr">
        <is>
          <t>AUD</t>
        </is>
      </c>
      <c r="K47" s="8" t="inlineStr">
        <is>
          <t>Final — Ridgeline Electrical</t>
        </is>
      </c>
      <c r="L47" s="8" t="inlineStr">
        <is>
          <t>Xero</t>
        </is>
      </c>
      <c r="M47" s="8" t="inlineStr">
        <is>
          <t>RES-0043</t>
        </is>
      </c>
      <c r="N47" s="8" t="inlineStr">
        <is>
          <t>Final</t>
        </is>
      </c>
      <c r="O47" s="9" t="n">
        <v>7493.58</v>
      </c>
      <c r="P47" s="9" t="n">
        <v>0</v>
      </c>
    </row>
    <row r="48">
      <c r="A48" s="8" t="inlineStr">
        <is>
          <t>inv-0044</t>
        </is>
      </c>
      <c r="B48" s="8" t="inlineStr">
        <is>
          <t>INV-2044</t>
        </is>
      </c>
      <c r="C48" s="8" t="inlineStr">
        <is>
          <t>Bluewater Dental</t>
        </is>
      </c>
      <c r="D48" s="8" t="inlineStr">
        <is>
          <t>PAID</t>
        </is>
      </c>
      <c r="E48" s="8" t="inlineStr">
        <is>
          <t>2026-04-06</t>
        </is>
      </c>
      <c r="F48" s="8" t="inlineStr">
        <is>
          <t>2026-04-20</t>
        </is>
      </c>
      <c r="G48" s="9" t="n">
        <v>6603.54</v>
      </c>
      <c r="H48" s="9" t="n">
        <v>0</v>
      </c>
      <c r="I48" s="9" t="n">
        <v>6603.54</v>
      </c>
      <c r="J48" s="8" t="inlineStr">
        <is>
          <t>AUD</t>
        </is>
      </c>
      <c r="K48" s="8" t="inlineStr">
        <is>
          <t>Deposit — Bluewater Dental</t>
        </is>
      </c>
      <c r="L48" s="8" t="inlineStr">
        <is>
          <t>Xero</t>
        </is>
      </c>
      <c r="M48" s="8" t="inlineStr">
        <is>
          <t>RES-0044</t>
        </is>
      </c>
      <c r="N48" s="8" t="inlineStr">
        <is>
          <t>Deposit</t>
        </is>
      </c>
      <c r="O48" s="9" t="n">
        <v>6603.54</v>
      </c>
      <c r="P48" s="9" t="n">
        <v>6603.54</v>
      </c>
    </row>
    <row r="49">
      <c r="A49" s="8" t="inlineStr">
        <is>
          <t>inv-0045</t>
        </is>
      </c>
      <c r="B49" s="8" t="inlineStr">
        <is>
          <t>INV-2045</t>
        </is>
      </c>
      <c r="C49" s="8" t="inlineStr">
        <is>
          <t>Meridian Fitouts</t>
        </is>
      </c>
      <c r="D49" s="8" t="inlineStr">
        <is>
          <t>PAID</t>
        </is>
      </c>
      <c r="E49" s="8" t="inlineStr">
        <is>
          <t>2026-04-08</t>
        </is>
      </c>
      <c r="F49" s="8" t="inlineStr">
        <is>
          <t>2026-04-22</t>
        </is>
      </c>
      <c r="G49" s="9" t="n">
        <v>8171.84</v>
      </c>
      <c r="H49" s="9" t="n">
        <v>0</v>
      </c>
      <c r="I49" s="9" t="n">
        <v>8171.84</v>
      </c>
      <c r="J49" s="8" t="inlineStr">
        <is>
          <t>AUD</t>
        </is>
      </c>
      <c r="K49" s="8" t="inlineStr">
        <is>
          <t>Progress claim 1 — Meridian Fitouts</t>
        </is>
      </c>
      <c r="L49" s="8" t="inlineStr">
        <is>
          <t>Xero</t>
        </is>
      </c>
      <c r="M49" s="9" t="n">
        <v/>
      </c>
      <c r="N49" s="8" t="inlineStr">
        <is>
          <t>Unassigned</t>
        </is>
      </c>
      <c r="O49" s="9" t="n">
        <v/>
      </c>
      <c r="P49" s="9" t="n">
        <v/>
      </c>
    </row>
    <row r="50">
      <c r="A50" s="8" t="inlineStr">
        <is>
          <t>inv-0046</t>
        </is>
      </c>
      <c r="B50" s="8" t="inlineStr">
        <is>
          <t>INV-2046</t>
        </is>
      </c>
      <c r="C50" s="8" t="inlineStr">
        <is>
          <t>Talbot Freight</t>
        </is>
      </c>
      <c r="D50" s="8" t="inlineStr">
        <is>
          <t>PAID</t>
        </is>
      </c>
      <c r="E50" s="8" t="inlineStr">
        <is>
          <t>2026-04-10</t>
        </is>
      </c>
      <c r="F50" s="8" t="inlineStr">
        <is>
          <t>2026-04-24</t>
        </is>
      </c>
      <c r="G50" s="9" t="n">
        <v>1840.19</v>
      </c>
      <c r="H50" s="9" t="n">
        <v>0</v>
      </c>
      <c r="I50" s="9" t="n">
        <v>1840.19</v>
      </c>
      <c r="J50" s="8" t="inlineStr">
        <is>
          <t>AUD</t>
        </is>
      </c>
      <c r="K50" s="8" t="inlineStr">
        <is>
          <t>Progress claim 2 — Talbot Freight</t>
        </is>
      </c>
      <c r="L50" s="8" t="inlineStr">
        <is>
          <t>Xero</t>
        </is>
      </c>
      <c r="M50" s="8" t="inlineStr">
        <is>
          <t>RES-0046</t>
        </is>
      </c>
      <c r="N50" s="8" t="inlineStr">
        <is>
          <t>Progress claim 2</t>
        </is>
      </c>
      <c r="O50" s="9" t="n">
        <v>1840.19</v>
      </c>
      <c r="P50" s="9" t="n">
        <v>1840.19</v>
      </c>
    </row>
    <row r="51">
      <c r="A51" s="8" t="inlineStr">
        <is>
          <t>inv-0047</t>
        </is>
      </c>
      <c r="B51" s="8" t="inlineStr">
        <is>
          <t>INV-2047</t>
        </is>
      </c>
      <c r="C51" s="8" t="inlineStr">
        <is>
          <t>Kingsway Pharmacy</t>
        </is>
      </c>
      <c r="D51" s="8" t="inlineStr">
        <is>
          <t>PAID</t>
        </is>
      </c>
      <c r="E51" s="8" t="inlineStr">
        <is>
          <t>2026-04-12</t>
        </is>
      </c>
      <c r="F51" s="8" t="inlineStr">
        <is>
          <t>2026-04-26</t>
        </is>
      </c>
      <c r="G51" s="9" t="n">
        <v>606.08</v>
      </c>
      <c r="H51" s="9" t="n">
        <v>0</v>
      </c>
      <c r="I51" s="9" t="n">
        <v>606.08</v>
      </c>
      <c r="J51" s="8" t="inlineStr">
        <is>
          <t>AUD</t>
        </is>
      </c>
      <c r="K51" s="8" t="inlineStr">
        <is>
          <t>Final — Kingsway Pharmacy</t>
        </is>
      </c>
      <c r="L51" s="8" t="inlineStr">
        <is>
          <t>Xero</t>
        </is>
      </c>
      <c r="M51" s="8" t="inlineStr">
        <is>
          <t>RES-0047</t>
        </is>
      </c>
      <c r="N51" s="8" t="inlineStr">
        <is>
          <t>Final</t>
        </is>
      </c>
      <c r="O51" s="9" t="n">
        <v>606.08</v>
      </c>
      <c r="P51" s="9" t="n">
        <v>606.08</v>
      </c>
    </row>
    <row r="52">
      <c r="A52" s="8" t="inlineStr">
        <is>
          <t>inv-0048</t>
        </is>
      </c>
      <c r="B52" s="8" t="inlineStr">
        <is>
          <t>INV-2048</t>
        </is>
      </c>
      <c r="C52" s="8" t="inlineStr">
        <is>
          <t>Silverfern Studios</t>
        </is>
      </c>
      <c r="D52" s="8" t="inlineStr">
        <is>
          <t>PAID</t>
        </is>
      </c>
      <c r="E52" s="8" t="inlineStr">
        <is>
          <t>2026-04-14</t>
        </is>
      </c>
      <c r="F52" s="8" t="inlineStr">
        <is>
          <t>2026-04-28</t>
        </is>
      </c>
      <c r="G52" s="9" t="n">
        <v>7529.67</v>
      </c>
      <c r="H52" s="9" t="n">
        <v>0</v>
      </c>
      <c r="I52" s="9" t="n">
        <v>7529.67</v>
      </c>
      <c r="J52" s="8" t="inlineStr">
        <is>
          <t>AUD</t>
        </is>
      </c>
      <c r="K52" s="8" t="inlineStr">
        <is>
          <t>Deposit — Silverfern Studios</t>
        </is>
      </c>
      <c r="L52" s="8" t="inlineStr">
        <is>
          <t>Xero</t>
        </is>
      </c>
      <c r="M52" s="8" t="inlineStr">
        <is>
          <t>RES-0048</t>
        </is>
      </c>
      <c r="N52" s="8" t="inlineStr">
        <is>
          <t>Deposit</t>
        </is>
      </c>
      <c r="O52" s="9" t="n">
        <v>7529.67</v>
      </c>
      <c r="P52" s="9" t="n">
        <v>7529.67</v>
      </c>
    </row>
    <row r="53">
      <c r="A53" s="8" t="inlineStr">
        <is>
          <t>inv-0049</t>
        </is>
      </c>
      <c r="B53" s="8" t="inlineStr">
        <is>
          <t>INV-2049</t>
        </is>
      </c>
      <c r="C53" s="8" t="inlineStr">
        <is>
          <t>Hollis Constructions</t>
        </is>
      </c>
      <c r="D53" s="8" t="inlineStr">
        <is>
          <t>PAID</t>
        </is>
      </c>
      <c r="E53" s="8" t="inlineStr">
        <is>
          <t>2026-04-16</t>
        </is>
      </c>
      <c r="F53" s="8" t="inlineStr">
        <is>
          <t>2026-04-30</t>
        </is>
      </c>
      <c r="G53" s="9" t="n">
        <v>1639.24</v>
      </c>
      <c r="H53" s="9" t="n">
        <v>0</v>
      </c>
      <c r="I53" s="9" t="n">
        <v>1639.24</v>
      </c>
      <c r="J53" s="8" t="inlineStr">
        <is>
          <t>AUD</t>
        </is>
      </c>
      <c r="K53" s="8" t="inlineStr">
        <is>
          <t>Progress claim 1 — Hollis Constructions</t>
        </is>
      </c>
      <c r="L53" s="8" t="inlineStr">
        <is>
          <t>Xero</t>
        </is>
      </c>
      <c r="M53" s="8" t="inlineStr">
        <is>
          <t>RES-0049</t>
        </is>
      </c>
      <c r="N53" s="8" t="inlineStr">
        <is>
          <t>Progress claim 1</t>
        </is>
      </c>
      <c r="O53" s="9" t="n">
        <v>1639.24</v>
      </c>
      <c r="P53" s="9" t="n">
        <v>1639.24</v>
      </c>
    </row>
    <row r="54">
      <c r="A54" s="8" t="inlineStr">
        <is>
          <t>inv-0050</t>
        </is>
      </c>
      <c r="B54" s="8" t="inlineStr">
        <is>
          <t>INV-2050</t>
        </is>
      </c>
      <c r="C54" s="8" t="inlineStr">
        <is>
          <t>Northgate Property Group</t>
        </is>
      </c>
      <c r="D54" s="8" t="inlineStr">
        <is>
          <t>PAID</t>
        </is>
      </c>
      <c r="E54" s="8" t="inlineStr">
        <is>
          <t>2026-04-18</t>
        </is>
      </c>
      <c r="F54" s="8" t="inlineStr">
        <is>
          <t>2026-05-02</t>
        </is>
      </c>
      <c r="G54" s="9" t="n">
        <v>7826.41</v>
      </c>
      <c r="H54" s="9" t="n">
        <v>0</v>
      </c>
      <c r="I54" s="9" t="n">
        <v>7826.41</v>
      </c>
      <c r="J54" s="8" t="inlineStr">
        <is>
          <t>AUD</t>
        </is>
      </c>
      <c r="K54" s="8" t="inlineStr">
        <is>
          <t>Progress claim 2 — Northgate Property Group</t>
        </is>
      </c>
      <c r="L54" s="8" t="inlineStr">
        <is>
          <t>Xero</t>
        </is>
      </c>
      <c r="M54" s="8" t="inlineStr">
        <is>
          <t>RES-0050</t>
        </is>
      </c>
      <c r="N54" s="8" t="inlineStr">
        <is>
          <t>Progress claim 2</t>
        </is>
      </c>
      <c r="O54" s="9" t="n">
        <v>7826.41</v>
      </c>
      <c r="P54" s="9" t="n">
        <v>7826.41</v>
      </c>
    </row>
    <row r="55">
      <c r="A55" s="8" t="inlineStr">
        <is>
          <t>inv-0051</t>
        </is>
      </c>
      <c r="B55" s="8" t="inlineStr">
        <is>
          <t>INV-2051</t>
        </is>
      </c>
      <c r="C55" s="8" t="inlineStr">
        <is>
          <t>Harbourline Logistics</t>
        </is>
      </c>
      <c r="D55" s="8" t="inlineStr">
        <is>
          <t>SUBMITTED</t>
        </is>
      </c>
      <c r="E55" s="8" t="inlineStr">
        <is>
          <t>2026-04-20</t>
        </is>
      </c>
      <c r="F55" s="8" t="inlineStr">
        <is>
          <t>2026-05-04</t>
        </is>
      </c>
      <c r="G55" s="9" t="n">
        <v>8114.74</v>
      </c>
      <c r="H55" s="9" t="n">
        <v>8114.74</v>
      </c>
      <c r="I55" s="9" t="n">
        <v>0</v>
      </c>
      <c r="J55" s="8" t="inlineStr">
        <is>
          <t>AUD</t>
        </is>
      </c>
      <c r="K55" s="8" t="inlineStr">
        <is>
          <t>Final — Harbourline Logistics</t>
        </is>
      </c>
      <c r="L55" s="8" t="inlineStr">
        <is>
          <t>Xero</t>
        </is>
      </c>
      <c r="M55" s="8" t="inlineStr">
        <is>
          <t>RES-0051</t>
        </is>
      </c>
      <c r="N55" s="8" t="inlineStr">
        <is>
          <t>Final</t>
        </is>
      </c>
      <c r="O55" s="9" t="n">
        <v>8114.74</v>
      </c>
      <c r="P55" s="9" t="n">
        <v>0</v>
      </c>
    </row>
    <row r="56">
      <c r="A56" s="8" t="inlineStr">
        <is>
          <t>inv-0052</t>
        </is>
      </c>
      <c r="B56" s="8" t="inlineStr">
        <is>
          <t>INV-2052</t>
        </is>
      </c>
      <c r="C56" s="8" t="inlineStr">
        <is>
          <t>Cedar &amp; Co Accountants</t>
        </is>
      </c>
      <c r="D56" s="8" t="inlineStr">
        <is>
          <t>SUBMITTED</t>
        </is>
      </c>
      <c r="E56" s="8" t="inlineStr">
        <is>
          <t>2026-04-22</t>
        </is>
      </c>
      <c r="F56" s="8" t="inlineStr">
        <is>
          <t>2026-05-06</t>
        </is>
      </c>
      <c r="G56" s="9" t="n">
        <v>8206.84</v>
      </c>
      <c r="H56" s="9" t="n">
        <v>8206.84</v>
      </c>
      <c r="I56" s="9" t="n">
        <v>0</v>
      </c>
      <c r="J56" s="8" t="inlineStr">
        <is>
          <t>AUD</t>
        </is>
      </c>
      <c r="K56" s="8" t="inlineStr">
        <is>
          <t>Deposit — Cedar &amp; Co Accountants</t>
        </is>
      </c>
      <c r="L56" s="8" t="inlineStr">
        <is>
          <t>Xero</t>
        </is>
      </c>
      <c r="M56" s="9" t="n">
        <v/>
      </c>
      <c r="N56" s="8" t="inlineStr">
        <is>
          <t>Unassigned</t>
        </is>
      </c>
      <c r="O56" s="9" t="n">
        <v/>
      </c>
      <c r="P56" s="9" t="n">
        <v/>
      </c>
    </row>
    <row r="57">
      <c r="A57" s="8" t="inlineStr">
        <is>
          <t>inv-0053</t>
        </is>
      </c>
      <c r="B57" s="8" t="inlineStr">
        <is>
          <t>INV-2053</t>
        </is>
      </c>
      <c r="C57" s="8" t="inlineStr">
        <is>
          <t>Ridgeline Electrical</t>
        </is>
      </c>
      <c r="D57" s="8" t="inlineStr">
        <is>
          <t>AUTHORISED</t>
        </is>
      </c>
      <c r="E57" s="8" t="inlineStr">
        <is>
          <t>2026-04-24</t>
        </is>
      </c>
      <c r="F57" s="8" t="inlineStr">
        <is>
          <t>2026-05-08</t>
        </is>
      </c>
      <c r="G57" s="9" t="n">
        <v>8689.48</v>
      </c>
      <c r="H57" s="9" t="n">
        <v>8689.48</v>
      </c>
      <c r="I57" s="9" t="n">
        <v>0</v>
      </c>
      <c r="J57" s="8" t="inlineStr">
        <is>
          <t>AUD</t>
        </is>
      </c>
      <c r="K57" s="8" t="inlineStr">
        <is>
          <t>Progress claim 1 — Ridgeline Electrical</t>
        </is>
      </c>
      <c r="L57" s="8" t="inlineStr">
        <is>
          <t>Xero</t>
        </is>
      </c>
      <c r="M57" s="8" t="inlineStr">
        <is>
          <t>RES-0053</t>
        </is>
      </c>
      <c r="N57" s="8" t="inlineStr">
        <is>
          <t>Progress claim 1</t>
        </is>
      </c>
      <c r="O57" s="9" t="n">
        <v>8689.48</v>
      </c>
      <c r="P57" s="9" t="n">
        <v>0</v>
      </c>
    </row>
    <row r="58">
      <c r="A58" s="8" t="inlineStr">
        <is>
          <t>inv-0054</t>
        </is>
      </c>
      <c r="B58" s="8" t="inlineStr">
        <is>
          <t>INV-2054</t>
        </is>
      </c>
      <c r="C58" s="8" t="inlineStr">
        <is>
          <t>Bluewater Dental</t>
        </is>
      </c>
      <c r="D58" s="8" t="inlineStr">
        <is>
          <t>PAID</t>
        </is>
      </c>
      <c r="E58" s="8" t="inlineStr">
        <is>
          <t>2026-04-26</t>
        </is>
      </c>
      <c r="F58" s="8" t="inlineStr">
        <is>
          <t>2026-05-10</t>
        </is>
      </c>
      <c r="G58" s="9" t="n">
        <v>8371.610000000001</v>
      </c>
      <c r="H58" s="9" t="n">
        <v>0</v>
      </c>
      <c r="I58" s="9" t="n">
        <v>8371.610000000001</v>
      </c>
      <c r="J58" s="8" t="inlineStr">
        <is>
          <t>AUD</t>
        </is>
      </c>
      <c r="K58" s="8" t="inlineStr">
        <is>
          <t>Progress claim 2 — Bluewater Dental</t>
        </is>
      </c>
      <c r="L58" s="8" t="inlineStr">
        <is>
          <t>Xero</t>
        </is>
      </c>
      <c r="M58" s="8" t="inlineStr">
        <is>
          <t>RES-0054</t>
        </is>
      </c>
      <c r="N58" s="8" t="inlineStr">
        <is>
          <t>Progress claim 2</t>
        </is>
      </c>
      <c r="O58" s="9" t="n">
        <v>8371.610000000001</v>
      </c>
      <c r="P58" s="9" t="n">
        <v>8371.610000000001</v>
      </c>
    </row>
    <row r="59">
      <c r="A59" s="8" t="inlineStr">
        <is>
          <t>inv-0055</t>
        </is>
      </c>
      <c r="B59" s="8" t="inlineStr">
        <is>
          <t>INV-2055</t>
        </is>
      </c>
      <c r="C59" s="8" t="inlineStr">
        <is>
          <t>Meridian Fitouts</t>
        </is>
      </c>
      <c r="D59" s="8" t="inlineStr">
        <is>
          <t>PAID</t>
        </is>
      </c>
      <c r="E59" s="8" t="inlineStr">
        <is>
          <t>2026-04-28</t>
        </is>
      </c>
      <c r="F59" s="8" t="inlineStr">
        <is>
          <t>2026-05-12</t>
        </is>
      </c>
      <c r="G59" s="9" t="n">
        <v>5894</v>
      </c>
      <c r="H59" s="9" t="n">
        <v>0</v>
      </c>
      <c r="I59" s="9" t="n">
        <v>5894</v>
      </c>
      <c r="J59" s="8" t="inlineStr">
        <is>
          <t>AUD</t>
        </is>
      </c>
      <c r="K59" s="8" t="inlineStr">
        <is>
          <t>Final — Meridian Fitouts</t>
        </is>
      </c>
      <c r="L59" s="8" t="inlineStr">
        <is>
          <t>Xero</t>
        </is>
      </c>
      <c r="M59" s="8" t="inlineStr">
        <is>
          <t>RES-0055</t>
        </is>
      </c>
      <c r="N59" s="8" t="inlineStr">
        <is>
          <t>Final</t>
        </is>
      </c>
      <c r="O59" s="9" t="n">
        <v>5894</v>
      </c>
      <c r="P59" s="9" t="n">
        <v>5894</v>
      </c>
    </row>
    <row r="60">
      <c r="A60" s="8" t="inlineStr">
        <is>
          <t>inv-0056</t>
        </is>
      </c>
      <c r="B60" s="8" t="inlineStr">
        <is>
          <t>INV-2056</t>
        </is>
      </c>
      <c r="C60" s="8" t="inlineStr">
        <is>
          <t>Talbot Freight</t>
        </is>
      </c>
      <c r="D60" s="8" t="inlineStr">
        <is>
          <t>PAID</t>
        </is>
      </c>
      <c r="E60" s="8" t="inlineStr">
        <is>
          <t>2026-04-30</t>
        </is>
      </c>
      <c r="F60" s="8" t="inlineStr">
        <is>
          <t>2026-05-14</t>
        </is>
      </c>
      <c r="G60" s="9" t="n">
        <v>9363.469999999999</v>
      </c>
      <c r="H60" s="9" t="n">
        <v>0</v>
      </c>
      <c r="I60" s="9" t="n">
        <v>9363.469999999999</v>
      </c>
      <c r="J60" s="8" t="inlineStr">
        <is>
          <t>AUD</t>
        </is>
      </c>
      <c r="K60" s="8" t="inlineStr">
        <is>
          <t>Deposit — Talbot Freight</t>
        </is>
      </c>
      <c r="L60" s="8" t="inlineStr">
        <is>
          <t>Xero</t>
        </is>
      </c>
      <c r="M60" s="8" t="inlineStr">
        <is>
          <t>RES-0056</t>
        </is>
      </c>
      <c r="N60" s="8" t="inlineStr">
        <is>
          <t>Deposit</t>
        </is>
      </c>
      <c r="O60" s="9" t="n">
        <v>9363.469999999999</v>
      </c>
      <c r="P60" s="9" t="n">
        <v>9363.469999999999</v>
      </c>
    </row>
    <row r="61">
      <c r="A61" s="8" t="inlineStr">
        <is>
          <t>inv-0057</t>
        </is>
      </c>
      <c r="B61" s="8" t="inlineStr">
        <is>
          <t>INV-2057</t>
        </is>
      </c>
      <c r="C61" s="8" t="inlineStr">
        <is>
          <t>Kingsway Pharmacy</t>
        </is>
      </c>
      <c r="D61" s="8" t="inlineStr">
        <is>
          <t>PAID</t>
        </is>
      </c>
      <c r="E61" s="8" t="inlineStr">
        <is>
          <t>2026-05-02</t>
        </is>
      </c>
      <c r="F61" s="8" t="inlineStr">
        <is>
          <t>2026-05-16</t>
        </is>
      </c>
      <c r="G61" s="9" t="n">
        <v>5601.3</v>
      </c>
      <c r="H61" s="9" t="n">
        <v>0</v>
      </c>
      <c r="I61" s="9" t="n">
        <v>5601.3</v>
      </c>
      <c r="J61" s="8" t="inlineStr">
        <is>
          <t>AUD</t>
        </is>
      </c>
      <c r="K61" s="8" t="inlineStr">
        <is>
          <t>Progress claim 1 — Kingsway Pharmacy</t>
        </is>
      </c>
      <c r="L61" s="8" t="inlineStr">
        <is>
          <t>Xero</t>
        </is>
      </c>
      <c r="M61" s="8" t="inlineStr">
        <is>
          <t>RES-0057</t>
        </is>
      </c>
      <c r="N61" s="8" t="inlineStr">
        <is>
          <t>Progress claim 1</t>
        </is>
      </c>
      <c r="O61" s="9" t="n">
        <v>5601.3</v>
      </c>
      <c r="P61" s="9" t="n">
        <v>5601.3</v>
      </c>
    </row>
    <row r="62">
      <c r="A62" s="8" t="inlineStr">
        <is>
          <t>inv-0058</t>
        </is>
      </c>
      <c r="B62" s="8" t="inlineStr">
        <is>
          <t>INV-2058</t>
        </is>
      </c>
      <c r="C62" s="8" t="inlineStr">
        <is>
          <t>Silverfern Studios</t>
        </is>
      </c>
      <c r="D62" s="8" t="inlineStr">
        <is>
          <t>SUBMITTED</t>
        </is>
      </c>
      <c r="E62" s="8" t="inlineStr">
        <is>
          <t>2026-05-04</t>
        </is>
      </c>
      <c r="F62" s="8" t="inlineStr">
        <is>
          <t>2026-05-18</t>
        </is>
      </c>
      <c r="G62" s="9" t="n">
        <v>625.11</v>
      </c>
      <c r="H62" s="9" t="n">
        <v>625.11</v>
      </c>
      <c r="I62" s="9" t="n">
        <v>0</v>
      </c>
      <c r="J62" s="8" t="inlineStr">
        <is>
          <t>AUD</t>
        </is>
      </c>
      <c r="K62" s="8" t="inlineStr">
        <is>
          <t>Progress claim 2 — Silverfern Studios</t>
        </is>
      </c>
      <c r="L62" s="8" t="inlineStr">
        <is>
          <t>Xero</t>
        </is>
      </c>
      <c r="M62" s="8" t="inlineStr">
        <is>
          <t>RES-0058</t>
        </is>
      </c>
      <c r="N62" s="8" t="inlineStr">
        <is>
          <t>Progress claim 2</t>
        </is>
      </c>
      <c r="O62" s="9" t="n">
        <v>625.11</v>
      </c>
      <c r="P62" s="9" t="n">
        <v>0</v>
      </c>
    </row>
    <row r="63">
      <c r="A63" s="8" t="inlineStr">
        <is>
          <t>inv-0059</t>
        </is>
      </c>
      <c r="B63" s="8" t="inlineStr">
        <is>
          <t>INV-2059</t>
        </is>
      </c>
      <c r="C63" s="8" t="inlineStr">
        <is>
          <t>Hollis Constructions</t>
        </is>
      </c>
      <c r="D63" s="8" t="inlineStr">
        <is>
          <t>AUTHORISED</t>
        </is>
      </c>
      <c r="E63" s="8" t="inlineStr">
        <is>
          <t>2026-05-06</t>
        </is>
      </c>
      <c r="F63" s="8" t="inlineStr">
        <is>
          <t>2026-05-20</t>
        </is>
      </c>
      <c r="G63" s="9" t="n">
        <v>8998.68</v>
      </c>
      <c r="H63" s="9" t="n">
        <v>8998.68</v>
      </c>
      <c r="I63" s="9" t="n">
        <v>0</v>
      </c>
      <c r="J63" s="8" t="inlineStr">
        <is>
          <t>AUD</t>
        </is>
      </c>
      <c r="K63" s="8" t="inlineStr">
        <is>
          <t>Final — Hollis Constructions</t>
        </is>
      </c>
      <c r="L63" s="8" t="inlineStr">
        <is>
          <t>Xero</t>
        </is>
      </c>
      <c r="M63" s="9" t="n">
        <v/>
      </c>
      <c r="N63" s="8" t="inlineStr">
        <is>
          <t>Unassigned</t>
        </is>
      </c>
      <c r="O63" s="9" t="n">
        <v/>
      </c>
      <c r="P63" s="9" t="n">
        <v/>
      </c>
    </row>
    <row r="64">
      <c r="A64" s="8" t="inlineStr">
        <is>
          <t>inv-0060</t>
        </is>
      </c>
      <c r="B64" s="8" t="inlineStr">
        <is>
          <t>INV-2060</t>
        </is>
      </c>
      <c r="C64" s="8" t="inlineStr">
        <is>
          <t>Northgate Property Group</t>
        </is>
      </c>
      <c r="D64" s="8" t="inlineStr">
        <is>
          <t>PAID</t>
        </is>
      </c>
      <c r="E64" s="8" t="inlineStr">
        <is>
          <t>2026-05-08</t>
        </is>
      </c>
      <c r="F64" s="8" t="inlineStr">
        <is>
          <t>2026-05-22</t>
        </is>
      </c>
      <c r="G64" s="9" t="n">
        <v>7696.43</v>
      </c>
      <c r="H64" s="9" t="n">
        <v>0</v>
      </c>
      <c r="I64" s="9" t="n">
        <v>7696.43</v>
      </c>
      <c r="J64" s="8" t="inlineStr">
        <is>
          <t>AUD</t>
        </is>
      </c>
      <c r="K64" s="8" t="inlineStr">
        <is>
          <t>Deposit — Northgate Property Group</t>
        </is>
      </c>
      <c r="L64" s="8" t="inlineStr">
        <is>
          <t>Xero</t>
        </is>
      </c>
      <c r="M64" s="8" t="inlineStr">
        <is>
          <t>RES-0060</t>
        </is>
      </c>
      <c r="N64" s="8" t="inlineStr">
        <is>
          <t>Deposit</t>
        </is>
      </c>
      <c r="O64" s="9" t="n">
        <v>7696.43</v>
      </c>
      <c r="P64" s="9" t="n">
        <v>7696.43</v>
      </c>
    </row>
    <row r="65">
      <c r="A65" s="8" t="inlineStr">
        <is>
          <t>inv-0061</t>
        </is>
      </c>
      <c r="B65" s="8" t="inlineStr">
        <is>
          <t>INV-2061</t>
        </is>
      </c>
      <c r="C65" s="8" t="inlineStr">
        <is>
          <t>Harbourline Logistics</t>
        </is>
      </c>
      <c r="D65" s="8" t="inlineStr">
        <is>
          <t>PAID</t>
        </is>
      </c>
      <c r="E65" s="8" t="inlineStr">
        <is>
          <t>2026-05-10</t>
        </is>
      </c>
      <c r="F65" s="8" t="inlineStr">
        <is>
          <t>2026-05-24</t>
        </is>
      </c>
      <c r="G65" s="9" t="n">
        <v>2148.31</v>
      </c>
      <c r="H65" s="9" t="n">
        <v>0</v>
      </c>
      <c r="I65" s="9" t="n">
        <v>2148.31</v>
      </c>
      <c r="J65" s="8" t="inlineStr">
        <is>
          <t>AUD</t>
        </is>
      </c>
      <c r="K65" s="8" t="inlineStr">
        <is>
          <t>Progress claim 1 — Harbourline Logistics</t>
        </is>
      </c>
      <c r="L65" s="8" t="inlineStr">
        <is>
          <t>Xero</t>
        </is>
      </c>
      <c r="M65" s="8" t="inlineStr">
        <is>
          <t>RES-0061</t>
        </is>
      </c>
      <c r="N65" s="8" t="inlineStr">
        <is>
          <t>Progress claim 1</t>
        </is>
      </c>
      <c r="O65" s="9" t="n">
        <v>2148.31</v>
      </c>
      <c r="P65" s="9" t="n">
        <v>2148.31</v>
      </c>
    </row>
    <row r="66">
      <c r="A66" s="8" t="inlineStr">
        <is>
          <t>inv-0062</t>
        </is>
      </c>
      <c r="B66" s="8" t="inlineStr">
        <is>
          <t>INV-2062</t>
        </is>
      </c>
      <c r="C66" s="8" t="inlineStr">
        <is>
          <t>Cedar &amp; Co Accountants</t>
        </is>
      </c>
      <c r="D66" s="8" t="inlineStr">
        <is>
          <t>AUTHORISED</t>
        </is>
      </c>
      <c r="E66" s="8" t="inlineStr">
        <is>
          <t>2026-05-12</t>
        </is>
      </c>
      <c r="F66" s="8" t="inlineStr">
        <is>
          <t>2026-05-26</t>
        </is>
      </c>
      <c r="G66" s="9" t="n">
        <v>3373.42</v>
      </c>
      <c r="H66" s="9" t="n">
        <v>3373.42</v>
      </c>
      <c r="I66" s="9" t="n">
        <v>0</v>
      </c>
      <c r="J66" s="8" t="inlineStr">
        <is>
          <t>AUD</t>
        </is>
      </c>
      <c r="K66" s="8" t="inlineStr">
        <is>
          <t>Progress claim 2 — Cedar &amp; Co Accountants</t>
        </is>
      </c>
      <c r="L66" s="8" t="inlineStr">
        <is>
          <t>Xero</t>
        </is>
      </c>
      <c r="M66" s="8" t="inlineStr">
        <is>
          <t>RES-0062</t>
        </is>
      </c>
      <c r="N66" s="8" t="inlineStr">
        <is>
          <t>Progress claim 2</t>
        </is>
      </c>
      <c r="O66" s="9" t="n">
        <v>3373.42</v>
      </c>
      <c r="P66" s="9" t="n">
        <v>0</v>
      </c>
    </row>
    <row r="67">
      <c r="A67" s="8" t="inlineStr">
        <is>
          <t>inv-0063</t>
        </is>
      </c>
      <c r="B67" s="8" t="inlineStr">
        <is>
          <t>INV-2063</t>
        </is>
      </c>
      <c r="C67" s="8" t="inlineStr">
        <is>
          <t>Ridgeline Electrical</t>
        </is>
      </c>
      <c r="D67" s="8" t="inlineStr">
        <is>
          <t>PAID</t>
        </is>
      </c>
      <c r="E67" s="8" t="inlineStr">
        <is>
          <t>2026-05-14</t>
        </is>
      </c>
      <c r="F67" s="8" t="inlineStr">
        <is>
          <t>2026-05-28</t>
        </is>
      </c>
      <c r="G67" s="9" t="n">
        <v>4018.62</v>
      </c>
      <c r="H67" s="9" t="n">
        <v>0</v>
      </c>
      <c r="I67" s="9" t="n">
        <v>4018.62</v>
      </c>
      <c r="J67" s="8" t="inlineStr">
        <is>
          <t>AUD</t>
        </is>
      </c>
      <c r="K67" s="8" t="inlineStr">
        <is>
          <t>Final — Ridgeline Electrical</t>
        </is>
      </c>
      <c r="L67" s="8" t="inlineStr">
        <is>
          <t>Xero</t>
        </is>
      </c>
      <c r="M67" s="8" t="inlineStr">
        <is>
          <t>RES-0063</t>
        </is>
      </c>
      <c r="N67" s="8" t="inlineStr">
        <is>
          <t>Final</t>
        </is>
      </c>
      <c r="O67" s="9" t="n">
        <v>4018.62</v>
      </c>
      <c r="P67" s="9" t="n">
        <v>4018.62</v>
      </c>
    </row>
    <row r="68">
      <c r="A68" s="8" t="inlineStr">
        <is>
          <t>inv-0064</t>
        </is>
      </c>
      <c r="B68" s="8" t="inlineStr">
        <is>
          <t>INV-2064</t>
        </is>
      </c>
      <c r="C68" s="8" t="inlineStr">
        <is>
          <t>Bluewater Dental</t>
        </is>
      </c>
      <c r="D68" s="8" t="inlineStr">
        <is>
          <t>PAID</t>
        </is>
      </c>
      <c r="E68" s="8" t="inlineStr">
        <is>
          <t>2026-05-16</t>
        </is>
      </c>
      <c r="F68" s="8" t="inlineStr">
        <is>
          <t>2026-05-30</t>
        </is>
      </c>
      <c r="G68" s="9" t="n">
        <v>5169.3</v>
      </c>
      <c r="H68" s="9" t="n">
        <v>0</v>
      </c>
      <c r="I68" s="9" t="n">
        <v>5169.3</v>
      </c>
      <c r="J68" s="8" t="inlineStr">
        <is>
          <t>AUD</t>
        </is>
      </c>
      <c r="K68" s="8" t="inlineStr">
        <is>
          <t>Deposit — Bluewater Dental</t>
        </is>
      </c>
      <c r="L68" s="8" t="inlineStr">
        <is>
          <t>Xero</t>
        </is>
      </c>
      <c r="M68" s="8" t="inlineStr">
        <is>
          <t>RES-0064</t>
        </is>
      </c>
      <c r="N68" s="8" t="inlineStr">
        <is>
          <t>Deposit</t>
        </is>
      </c>
      <c r="O68" s="9" t="n">
        <v>5169.3</v>
      </c>
      <c r="P68" s="9" t="n">
        <v>5169.3</v>
      </c>
    </row>
    <row r="69">
      <c r="A69" s="8" t="inlineStr">
        <is>
          <t>inv-0065</t>
        </is>
      </c>
      <c r="B69" s="8" t="inlineStr">
        <is>
          <t>INV-2065</t>
        </is>
      </c>
      <c r="C69" s="8" t="inlineStr">
        <is>
          <t>Meridian Fitouts</t>
        </is>
      </c>
      <c r="D69" s="8" t="inlineStr">
        <is>
          <t>PAID</t>
        </is>
      </c>
      <c r="E69" s="8" t="inlineStr">
        <is>
          <t>2026-05-18</t>
        </is>
      </c>
      <c r="F69" s="8" t="inlineStr">
        <is>
          <t>2026-06-01</t>
        </is>
      </c>
      <c r="G69" s="9" t="n">
        <v>2918.8</v>
      </c>
      <c r="H69" s="9" t="n">
        <v>0</v>
      </c>
      <c r="I69" s="9" t="n">
        <v>2918.8</v>
      </c>
      <c r="J69" s="8" t="inlineStr">
        <is>
          <t>AUD</t>
        </is>
      </c>
      <c r="K69" s="8" t="inlineStr">
        <is>
          <t>Progress claim 1 — Meridian Fitouts</t>
        </is>
      </c>
      <c r="L69" s="8" t="inlineStr">
        <is>
          <t>Xero</t>
        </is>
      </c>
      <c r="M69" s="8" t="inlineStr">
        <is>
          <t>RES-0065</t>
        </is>
      </c>
      <c r="N69" s="8" t="inlineStr">
        <is>
          <t>Progress claim 1</t>
        </is>
      </c>
      <c r="O69" s="9" t="n">
        <v>2918.8</v>
      </c>
      <c r="P69" s="9" t="n">
        <v>2918.8</v>
      </c>
    </row>
    <row r="70">
      <c r="A70" s="8" t="inlineStr">
        <is>
          <t>inv-0066</t>
        </is>
      </c>
      <c r="B70" s="8" t="inlineStr">
        <is>
          <t>INV-2066</t>
        </is>
      </c>
      <c r="C70" s="8" t="inlineStr">
        <is>
          <t>Talbot Freight</t>
        </is>
      </c>
      <c r="D70" s="8" t="inlineStr">
        <is>
          <t>AUTHORISED</t>
        </is>
      </c>
      <c r="E70" s="8" t="inlineStr">
        <is>
          <t>2026-05-20</t>
        </is>
      </c>
      <c r="F70" s="8" t="inlineStr">
        <is>
          <t>2026-06-03</t>
        </is>
      </c>
      <c r="G70" s="9" t="n">
        <v>1494.09</v>
      </c>
      <c r="H70" s="9" t="n">
        <v>1494.09</v>
      </c>
      <c r="I70" s="9" t="n">
        <v>0</v>
      </c>
      <c r="J70" s="8" t="inlineStr">
        <is>
          <t>AUD</t>
        </is>
      </c>
      <c r="K70" s="8" t="inlineStr">
        <is>
          <t>Progress claim 2 — Talbot Freight</t>
        </is>
      </c>
      <c r="L70" s="8" t="inlineStr">
        <is>
          <t>Xero</t>
        </is>
      </c>
      <c r="M70" s="9" t="n">
        <v/>
      </c>
      <c r="N70" s="8" t="inlineStr">
        <is>
          <t>Unassigned</t>
        </is>
      </c>
      <c r="O70" s="9" t="n">
        <v/>
      </c>
      <c r="P70" s="9" t="n">
        <v/>
      </c>
    </row>
    <row r="71">
      <c r="A71" s="8" t="inlineStr">
        <is>
          <t>inv-0067</t>
        </is>
      </c>
      <c r="B71" s="8" t="inlineStr">
        <is>
          <t>INV-2067</t>
        </is>
      </c>
      <c r="C71" s="8" t="inlineStr">
        <is>
          <t>Kingsway Pharmacy</t>
        </is>
      </c>
      <c r="D71" s="8" t="inlineStr">
        <is>
          <t>SUBMITTED</t>
        </is>
      </c>
      <c r="E71" s="8" t="inlineStr">
        <is>
          <t>2026-05-22</t>
        </is>
      </c>
      <c r="F71" s="8" t="inlineStr">
        <is>
          <t>2026-06-05</t>
        </is>
      </c>
      <c r="G71" s="9" t="n">
        <v>6718.6</v>
      </c>
      <c r="H71" s="9" t="n">
        <v>6718.6</v>
      </c>
      <c r="I71" s="9" t="n">
        <v>0</v>
      </c>
      <c r="J71" s="8" t="inlineStr">
        <is>
          <t>AUD</t>
        </is>
      </c>
      <c r="K71" s="8" t="inlineStr">
        <is>
          <t>Final — Kingsway Pharmacy</t>
        </is>
      </c>
      <c r="L71" s="8" t="inlineStr">
        <is>
          <t>Xero</t>
        </is>
      </c>
      <c r="M71" s="8" t="inlineStr">
        <is>
          <t>RES-0067</t>
        </is>
      </c>
      <c r="N71" s="8" t="inlineStr">
        <is>
          <t>Final</t>
        </is>
      </c>
      <c r="O71" s="9" t="n">
        <v>6718.6</v>
      </c>
      <c r="P71" s="9" t="n">
        <v>0</v>
      </c>
    </row>
    <row r="72">
      <c r="A72" s="8" t="inlineStr">
        <is>
          <t>inv-0068</t>
        </is>
      </c>
      <c r="B72" s="8" t="inlineStr">
        <is>
          <t>INV-2068</t>
        </is>
      </c>
      <c r="C72" s="8" t="inlineStr">
        <is>
          <t>Silverfern Studios</t>
        </is>
      </c>
      <c r="D72" s="8" t="inlineStr">
        <is>
          <t>PAID</t>
        </is>
      </c>
      <c r="E72" s="8" t="inlineStr">
        <is>
          <t>2026-05-24</t>
        </is>
      </c>
      <c r="F72" s="8" t="inlineStr">
        <is>
          <t>2026-06-07</t>
        </is>
      </c>
      <c r="G72" s="9" t="n">
        <v>9159.030000000001</v>
      </c>
      <c r="H72" s="9" t="n">
        <v>0</v>
      </c>
      <c r="I72" s="9" t="n">
        <v>9159.030000000001</v>
      </c>
      <c r="J72" s="8" t="inlineStr">
        <is>
          <t>AUD</t>
        </is>
      </c>
      <c r="K72" s="8" t="inlineStr">
        <is>
          <t>Deposit — Silverfern Studios</t>
        </is>
      </c>
      <c r="L72" s="8" t="inlineStr">
        <is>
          <t>Xero</t>
        </is>
      </c>
      <c r="M72" s="8" t="inlineStr">
        <is>
          <t>RES-0068</t>
        </is>
      </c>
      <c r="N72" s="8" t="inlineStr">
        <is>
          <t>Deposit</t>
        </is>
      </c>
      <c r="O72" s="9" t="n">
        <v>9159.030000000001</v>
      </c>
      <c r="P72" s="9" t="n">
        <v>9159.030000000001</v>
      </c>
    </row>
    <row r="73">
      <c r="A73" s="8" t="inlineStr">
        <is>
          <t>inv-0069</t>
        </is>
      </c>
      <c r="B73" s="8" t="inlineStr">
        <is>
          <t>INV-2069</t>
        </is>
      </c>
      <c r="C73" s="8" t="inlineStr">
        <is>
          <t>Hollis Constructions</t>
        </is>
      </c>
      <c r="D73" s="8" t="inlineStr">
        <is>
          <t>PAID</t>
        </is>
      </c>
      <c r="E73" s="8" t="inlineStr">
        <is>
          <t>2026-05-26</t>
        </is>
      </c>
      <c r="F73" s="8" t="inlineStr">
        <is>
          <t>2026-06-09</t>
        </is>
      </c>
      <c r="G73" s="9" t="n">
        <v>5142.9</v>
      </c>
      <c r="H73" s="9" t="n">
        <v>0</v>
      </c>
      <c r="I73" s="9" t="n">
        <v>5142.9</v>
      </c>
      <c r="J73" s="8" t="inlineStr">
        <is>
          <t>AUD</t>
        </is>
      </c>
      <c r="K73" s="8" t="inlineStr">
        <is>
          <t>Progress claim 1 — Hollis Constructions</t>
        </is>
      </c>
      <c r="L73" s="8" t="inlineStr">
        <is>
          <t>Xero</t>
        </is>
      </c>
      <c r="M73" s="8" t="inlineStr">
        <is>
          <t>RES-0069</t>
        </is>
      </c>
      <c r="N73" s="8" t="inlineStr">
        <is>
          <t>Progress claim 1</t>
        </is>
      </c>
      <c r="O73" s="9" t="n">
        <v>5142.9</v>
      </c>
      <c r="P73" s="9" t="n">
        <v>5142.9</v>
      </c>
    </row>
    <row r="74">
      <c r="A74" s="8" t="inlineStr">
        <is>
          <t>inv-0070</t>
        </is>
      </c>
      <c r="B74" s="8" t="inlineStr">
        <is>
          <t>INV-2070</t>
        </is>
      </c>
      <c r="C74" s="8" t="inlineStr">
        <is>
          <t>Northgate Property Group</t>
        </is>
      </c>
      <c r="D74" s="8" t="inlineStr">
        <is>
          <t>SUBMITTED</t>
        </is>
      </c>
      <c r="E74" s="8" t="inlineStr">
        <is>
          <t>2026-05-28</t>
        </is>
      </c>
      <c r="F74" s="8" t="inlineStr">
        <is>
          <t>2026-06-11</t>
        </is>
      </c>
      <c r="G74" s="9" t="n">
        <v>7577.51</v>
      </c>
      <c r="H74" s="9" t="n">
        <v>7577.51</v>
      </c>
      <c r="I74" s="9" t="n">
        <v>0</v>
      </c>
      <c r="J74" s="8" t="inlineStr">
        <is>
          <t>AUD</t>
        </is>
      </c>
      <c r="K74" s="8" t="inlineStr">
        <is>
          <t>Progress claim 2 — Northgate Property Group</t>
        </is>
      </c>
      <c r="L74" s="8" t="inlineStr">
        <is>
          <t>Xero</t>
        </is>
      </c>
      <c r="M74" s="8" t="inlineStr">
        <is>
          <t>RES-0070</t>
        </is>
      </c>
      <c r="N74" s="8" t="inlineStr">
        <is>
          <t>Progress claim 2</t>
        </is>
      </c>
      <c r="O74" s="9" t="n">
        <v>7577.51</v>
      </c>
      <c r="P74" s="9" t="n">
        <v>0</v>
      </c>
    </row>
    <row r="75">
      <c r="A75" s="8" t="inlineStr">
        <is>
          <t>inv-0071</t>
        </is>
      </c>
      <c r="B75" s="8" t="inlineStr">
        <is>
          <t>INV-2071</t>
        </is>
      </c>
      <c r="C75" s="8" t="inlineStr">
        <is>
          <t>Harbourline Logistics</t>
        </is>
      </c>
      <c r="D75" s="8" t="inlineStr">
        <is>
          <t>PAID</t>
        </is>
      </c>
      <c r="E75" s="8" t="inlineStr">
        <is>
          <t>2026-05-30</t>
        </is>
      </c>
      <c r="F75" s="8" t="inlineStr">
        <is>
          <t>2026-06-13</t>
        </is>
      </c>
      <c r="G75" s="9" t="n">
        <v>7253.83</v>
      </c>
      <c r="H75" s="9" t="n">
        <v>0</v>
      </c>
      <c r="I75" s="9" t="n">
        <v>7253.83</v>
      </c>
      <c r="J75" s="8" t="inlineStr">
        <is>
          <t>AUD</t>
        </is>
      </c>
      <c r="K75" s="8" t="inlineStr">
        <is>
          <t>Final — Harbourline Logistics</t>
        </is>
      </c>
      <c r="L75" s="8" t="inlineStr">
        <is>
          <t>Xero</t>
        </is>
      </c>
      <c r="M75" s="8" t="inlineStr">
        <is>
          <t>RES-0071</t>
        </is>
      </c>
      <c r="N75" s="8" t="inlineStr">
        <is>
          <t>Final</t>
        </is>
      </c>
      <c r="O75" s="9" t="n">
        <v>7253.83</v>
      </c>
      <c r="P75" s="9" t="n">
        <v>7253.83</v>
      </c>
    </row>
    <row r="76">
      <c r="A76" s="8" t="inlineStr">
        <is>
          <t>inv-0072</t>
        </is>
      </c>
      <c r="B76" s="8" t="inlineStr">
        <is>
          <t>INV-2072</t>
        </is>
      </c>
      <c r="C76" s="8" t="inlineStr">
        <is>
          <t>Cedar &amp; Co Accountants</t>
        </is>
      </c>
      <c r="D76" s="8" t="inlineStr">
        <is>
          <t>PAID</t>
        </is>
      </c>
      <c r="E76" s="8" t="inlineStr">
        <is>
          <t>2026-06-01</t>
        </is>
      </c>
      <c r="F76" s="8" t="inlineStr">
        <is>
          <t>2026-06-15</t>
        </is>
      </c>
      <c r="G76" s="9" t="n">
        <v>4749.51</v>
      </c>
      <c r="H76" s="9" t="n">
        <v>0</v>
      </c>
      <c r="I76" s="9" t="n">
        <v>4749.51</v>
      </c>
      <c r="J76" s="8" t="inlineStr">
        <is>
          <t>AUD</t>
        </is>
      </c>
      <c r="K76" s="8" t="inlineStr">
        <is>
          <t>Deposit — Cedar &amp; Co Accountants</t>
        </is>
      </c>
      <c r="L76" s="8" t="inlineStr">
        <is>
          <t>Xero</t>
        </is>
      </c>
      <c r="M76" s="8" t="inlineStr">
        <is>
          <t>RES-0072</t>
        </is>
      </c>
      <c r="N76" s="8" t="inlineStr">
        <is>
          <t>Deposit</t>
        </is>
      </c>
      <c r="O76" s="9" t="n">
        <v>4749.51</v>
      </c>
      <c r="P76" s="9" t="n">
        <v>4749.51</v>
      </c>
    </row>
    <row r="77">
      <c r="A77" s="8" t="inlineStr">
        <is>
          <t>inv-0073</t>
        </is>
      </c>
      <c r="B77" s="8" t="inlineStr">
        <is>
          <t>INV-2073</t>
        </is>
      </c>
      <c r="C77" s="8" t="inlineStr">
        <is>
          <t>Ridgeline Electrical</t>
        </is>
      </c>
      <c r="D77" s="8" t="inlineStr">
        <is>
          <t>PAID</t>
        </is>
      </c>
      <c r="E77" s="8" t="inlineStr">
        <is>
          <t>2026-06-03</t>
        </is>
      </c>
      <c r="F77" s="8" t="inlineStr">
        <is>
          <t>2026-06-17</t>
        </is>
      </c>
      <c r="G77" s="9" t="n">
        <v>5004.54</v>
      </c>
      <c r="H77" s="9" t="n">
        <v>0</v>
      </c>
      <c r="I77" s="9" t="n">
        <v>5004.54</v>
      </c>
      <c r="J77" s="8" t="inlineStr">
        <is>
          <t>AUD</t>
        </is>
      </c>
      <c r="K77" s="8" t="inlineStr">
        <is>
          <t>Progress claim 1 — Ridgeline Electrical</t>
        </is>
      </c>
      <c r="L77" s="8" t="inlineStr">
        <is>
          <t>Xero</t>
        </is>
      </c>
      <c r="M77" s="9" t="n">
        <v/>
      </c>
      <c r="N77" s="8" t="inlineStr">
        <is>
          <t>Unassigned</t>
        </is>
      </c>
      <c r="O77" s="9" t="n">
        <v/>
      </c>
      <c r="P77" s="9" t="n">
        <v/>
      </c>
    </row>
    <row r="78">
      <c r="A78" s="8" t="inlineStr">
        <is>
          <t>inv-0074</t>
        </is>
      </c>
      <c r="B78" s="8" t="inlineStr">
        <is>
          <t>INV-2074</t>
        </is>
      </c>
      <c r="C78" s="8" t="inlineStr">
        <is>
          <t>Bluewater Dental</t>
        </is>
      </c>
      <c r="D78" s="8" t="inlineStr">
        <is>
          <t>SUBMITTED</t>
        </is>
      </c>
      <c r="E78" s="8" t="inlineStr">
        <is>
          <t>2026-06-05</t>
        </is>
      </c>
      <c r="F78" s="8" t="inlineStr">
        <is>
          <t>2026-06-19</t>
        </is>
      </c>
      <c r="G78" s="9" t="n">
        <v>4693.95</v>
      </c>
      <c r="H78" s="9" t="n">
        <v>4693.95</v>
      </c>
      <c r="I78" s="9" t="n">
        <v>0</v>
      </c>
      <c r="J78" s="8" t="inlineStr">
        <is>
          <t>AUD</t>
        </is>
      </c>
      <c r="K78" s="8" t="inlineStr">
        <is>
          <t>Progress claim 2 — Bluewater Dental</t>
        </is>
      </c>
      <c r="L78" s="8" t="inlineStr">
        <is>
          <t>Xero</t>
        </is>
      </c>
      <c r="M78" s="8" t="inlineStr">
        <is>
          <t>RES-0074</t>
        </is>
      </c>
      <c r="N78" s="8" t="inlineStr">
        <is>
          <t>Progress claim 2</t>
        </is>
      </c>
      <c r="O78" s="9" t="n">
        <v>4693.95</v>
      </c>
      <c r="P78" s="9" t="n">
        <v>0</v>
      </c>
    </row>
    <row r="79">
      <c r="A79" s="8" t="inlineStr">
        <is>
          <t>inv-0075</t>
        </is>
      </c>
      <c r="B79" s="8" t="inlineStr">
        <is>
          <t>INV-2075</t>
        </is>
      </c>
      <c r="C79" s="8" t="inlineStr">
        <is>
          <t>Meridian Fitouts</t>
        </is>
      </c>
      <c r="D79" s="8" t="inlineStr">
        <is>
          <t>PAID</t>
        </is>
      </c>
      <c r="E79" s="8" t="inlineStr">
        <is>
          <t>2026-06-07</t>
        </is>
      </c>
      <c r="F79" s="8" t="inlineStr">
        <is>
          <t>2026-06-21</t>
        </is>
      </c>
      <c r="G79" s="9" t="n">
        <v>4412.45</v>
      </c>
      <c r="H79" s="9" t="n">
        <v>0</v>
      </c>
      <c r="I79" s="9" t="n">
        <v>4412.45</v>
      </c>
      <c r="J79" s="8" t="inlineStr">
        <is>
          <t>AUD</t>
        </is>
      </c>
      <c r="K79" s="8" t="inlineStr">
        <is>
          <t>Final — Meridian Fitouts</t>
        </is>
      </c>
      <c r="L79" s="8" t="inlineStr">
        <is>
          <t>Xero</t>
        </is>
      </c>
      <c r="M79" s="8" t="inlineStr">
        <is>
          <t>RES-0075</t>
        </is>
      </c>
      <c r="N79" s="8" t="inlineStr">
        <is>
          <t>Final</t>
        </is>
      </c>
      <c r="O79" s="9" t="n">
        <v>4412.45</v>
      </c>
      <c r="P79" s="9" t="n">
        <v>4412.45</v>
      </c>
    </row>
    <row r="80">
      <c r="A80" s="8" t="inlineStr">
        <is>
          <t>inv-0076</t>
        </is>
      </c>
      <c r="B80" s="8" t="inlineStr">
        <is>
          <t>INV-2076</t>
        </is>
      </c>
      <c r="C80" s="8" t="inlineStr">
        <is>
          <t>Talbot Freight</t>
        </is>
      </c>
      <c r="D80" s="8" t="inlineStr">
        <is>
          <t>PAID</t>
        </is>
      </c>
      <c r="E80" s="8" t="inlineStr">
        <is>
          <t>2026-06-09</t>
        </is>
      </c>
      <c r="F80" s="8" t="inlineStr">
        <is>
          <t>2026-06-23</t>
        </is>
      </c>
      <c r="G80" s="9" t="n">
        <v>7086.16</v>
      </c>
      <c r="H80" s="9" t="n">
        <v>0</v>
      </c>
      <c r="I80" s="9" t="n">
        <v>7086.16</v>
      </c>
      <c r="J80" s="8" t="inlineStr">
        <is>
          <t>AUD</t>
        </is>
      </c>
      <c r="K80" s="8" t="inlineStr">
        <is>
          <t>Deposit — Talbot Freight</t>
        </is>
      </c>
      <c r="L80" s="8" t="inlineStr">
        <is>
          <t>Xero</t>
        </is>
      </c>
      <c r="M80" s="8" t="inlineStr">
        <is>
          <t>RES-0076</t>
        </is>
      </c>
      <c r="N80" s="8" t="inlineStr">
        <is>
          <t>Deposit</t>
        </is>
      </c>
      <c r="O80" s="9" t="n">
        <v>7086.16</v>
      </c>
      <c r="P80" s="9" t="n">
        <v>7086.16</v>
      </c>
    </row>
    <row r="81">
      <c r="A81" s="8" t="inlineStr">
        <is>
          <t>inv-0077</t>
        </is>
      </c>
      <c r="B81" s="8" t="inlineStr">
        <is>
          <t>INV-2077</t>
        </is>
      </c>
      <c r="C81" s="8" t="inlineStr">
        <is>
          <t>Kingsway Pharmacy</t>
        </is>
      </c>
      <c r="D81" s="8" t="inlineStr">
        <is>
          <t>SUBMITTED</t>
        </is>
      </c>
      <c r="E81" s="8" t="inlineStr">
        <is>
          <t>2026-06-11</t>
        </is>
      </c>
      <c r="F81" s="8" t="inlineStr">
        <is>
          <t>2026-06-25</t>
        </is>
      </c>
      <c r="G81" s="9" t="n">
        <v>5571.44</v>
      </c>
      <c r="H81" s="9" t="n">
        <v>5571.44</v>
      </c>
      <c r="I81" s="9" t="n">
        <v>0</v>
      </c>
      <c r="J81" s="8" t="inlineStr">
        <is>
          <t>AUD</t>
        </is>
      </c>
      <c r="K81" s="8" t="inlineStr">
        <is>
          <t>Progress claim 1 — Kingsway Pharmacy</t>
        </is>
      </c>
      <c r="L81" s="8" t="inlineStr">
        <is>
          <t>Xero</t>
        </is>
      </c>
      <c r="M81" s="8" t="inlineStr">
        <is>
          <t>RES-0077</t>
        </is>
      </c>
      <c r="N81" s="8" t="inlineStr">
        <is>
          <t>Progress claim 1</t>
        </is>
      </c>
      <c r="O81" s="9" t="n">
        <v>5571.44</v>
      </c>
      <c r="P81" s="9" t="n">
        <v>0</v>
      </c>
    </row>
    <row r="82">
      <c r="A82" s="8" t="inlineStr">
        <is>
          <t>inv-0078</t>
        </is>
      </c>
      <c r="B82" s="8" t="inlineStr">
        <is>
          <t>INV-2078</t>
        </is>
      </c>
      <c r="C82" s="8" t="inlineStr">
        <is>
          <t>Silverfern Studios</t>
        </is>
      </c>
      <c r="D82" s="8" t="inlineStr">
        <is>
          <t>AUTHORISED</t>
        </is>
      </c>
      <c r="E82" s="8" t="inlineStr">
        <is>
          <t>2026-06-13</t>
        </is>
      </c>
      <c r="F82" s="8" t="inlineStr">
        <is>
          <t>2026-06-27</t>
        </is>
      </c>
      <c r="G82" s="9" t="n">
        <v>5139.25</v>
      </c>
      <c r="H82" s="9" t="n">
        <v>5139.25</v>
      </c>
      <c r="I82" s="9" t="n">
        <v>0</v>
      </c>
      <c r="J82" s="8" t="inlineStr">
        <is>
          <t>AUD</t>
        </is>
      </c>
      <c r="K82" s="8" t="inlineStr">
        <is>
          <t>Progress claim 2 — Silverfern Studios</t>
        </is>
      </c>
      <c r="L82" s="8" t="inlineStr">
        <is>
          <t>Xero</t>
        </is>
      </c>
      <c r="M82" s="8" t="inlineStr">
        <is>
          <t>RES-0078</t>
        </is>
      </c>
      <c r="N82" s="8" t="inlineStr">
        <is>
          <t>Progress claim 2</t>
        </is>
      </c>
      <c r="O82" s="9" t="n">
        <v>5139.25</v>
      </c>
      <c r="P82" s="9" t="n">
        <v>0</v>
      </c>
    </row>
    <row r="83">
      <c r="A83" s="8" t="inlineStr">
        <is>
          <t>inv-0079</t>
        </is>
      </c>
      <c r="B83" s="8" t="inlineStr">
        <is>
          <t>INV-2079</t>
        </is>
      </c>
      <c r="C83" s="8" t="inlineStr">
        <is>
          <t>Hollis Constructions</t>
        </is>
      </c>
      <c r="D83" s="8" t="inlineStr">
        <is>
          <t>AUTHORISED</t>
        </is>
      </c>
      <c r="E83" s="8" t="inlineStr">
        <is>
          <t>2026-06-15</t>
        </is>
      </c>
      <c r="F83" s="8" t="inlineStr">
        <is>
          <t>2026-06-29</t>
        </is>
      </c>
      <c r="G83" s="9" t="n">
        <v>4529.73</v>
      </c>
      <c r="H83" s="9" t="n">
        <v>4529.73</v>
      </c>
      <c r="I83" s="9" t="n">
        <v>0</v>
      </c>
      <c r="J83" s="8" t="inlineStr">
        <is>
          <t>AUD</t>
        </is>
      </c>
      <c r="K83" s="8" t="inlineStr">
        <is>
          <t>Final — Hollis Constructions</t>
        </is>
      </c>
      <c r="L83" s="8" t="inlineStr">
        <is>
          <t>Xero</t>
        </is>
      </c>
      <c r="M83" s="8" t="inlineStr">
        <is>
          <t>RES-0079</t>
        </is>
      </c>
      <c r="N83" s="8" t="inlineStr">
        <is>
          <t>Final</t>
        </is>
      </c>
      <c r="O83" s="9" t="n">
        <v>4529.73</v>
      </c>
      <c r="P83" s="9" t="n">
        <v>0</v>
      </c>
    </row>
    <row r="84">
      <c r="A84" s="8" t="inlineStr">
        <is>
          <t>inv-0080</t>
        </is>
      </c>
      <c r="B84" s="8" t="inlineStr">
        <is>
          <t>INV-2080</t>
        </is>
      </c>
      <c r="C84" s="8" t="inlineStr">
        <is>
          <t>Northgate Property Group</t>
        </is>
      </c>
      <c r="D84" s="8" t="inlineStr">
        <is>
          <t>PAID</t>
        </is>
      </c>
      <c r="E84" s="8" t="inlineStr">
        <is>
          <t>2026-06-17</t>
        </is>
      </c>
      <c r="F84" s="8" t="inlineStr">
        <is>
          <t>2026-07-01</t>
        </is>
      </c>
      <c r="G84" s="9" t="n">
        <v>3672.19</v>
      </c>
      <c r="H84" s="9" t="n">
        <v>0</v>
      </c>
      <c r="I84" s="9" t="n">
        <v>3672.19</v>
      </c>
      <c r="J84" s="8" t="inlineStr">
        <is>
          <t>AUD</t>
        </is>
      </c>
      <c r="K84" s="8" t="inlineStr">
        <is>
          <t>Deposit — Northgate Property Group</t>
        </is>
      </c>
      <c r="L84" s="8" t="inlineStr">
        <is>
          <t>Xero</t>
        </is>
      </c>
      <c r="M84" s="9" t="n">
        <v/>
      </c>
      <c r="N84" s="8" t="inlineStr">
        <is>
          <t>Unassigned</t>
        </is>
      </c>
      <c r="O84" s="9" t="n">
        <v/>
      </c>
      <c r="P84" s="9" t="n">
        <v/>
      </c>
    </row>
    <row r="85">
      <c r="A85" s="8" t="inlineStr">
        <is>
          <t>inv-0081</t>
        </is>
      </c>
      <c r="B85" s="8" t="inlineStr">
        <is>
          <t>INV-2081</t>
        </is>
      </c>
      <c r="C85" s="8" t="inlineStr">
        <is>
          <t>Harbourline Logistics</t>
        </is>
      </c>
      <c r="D85" s="8" t="inlineStr">
        <is>
          <t>PAID</t>
        </is>
      </c>
      <c r="E85" s="8" t="inlineStr">
        <is>
          <t>2026-06-19</t>
        </is>
      </c>
      <c r="F85" s="8" t="inlineStr">
        <is>
          <t>2026-07-03</t>
        </is>
      </c>
      <c r="G85" s="9" t="n">
        <v>8013.61</v>
      </c>
      <c r="H85" s="9" t="n">
        <v>0</v>
      </c>
      <c r="I85" s="9" t="n">
        <v>8013.61</v>
      </c>
      <c r="J85" s="8" t="inlineStr">
        <is>
          <t>AUD</t>
        </is>
      </c>
      <c r="K85" s="8" t="inlineStr">
        <is>
          <t>Progress claim 1 — Harbourline Logistics</t>
        </is>
      </c>
      <c r="L85" s="8" t="inlineStr">
        <is>
          <t>Xero</t>
        </is>
      </c>
      <c r="M85" s="8" t="inlineStr">
        <is>
          <t>RES-0081</t>
        </is>
      </c>
      <c r="N85" s="8" t="inlineStr">
        <is>
          <t>Progress claim 1</t>
        </is>
      </c>
      <c r="O85" s="9" t="n">
        <v>8013.61</v>
      </c>
      <c r="P85" s="9" t="n">
        <v>8013.61</v>
      </c>
    </row>
    <row r="86">
      <c r="A86" s="8" t="inlineStr">
        <is>
          <t>inv-0082</t>
        </is>
      </c>
      <c r="B86" s="8" t="inlineStr">
        <is>
          <t>INV-2082</t>
        </is>
      </c>
      <c r="C86" s="8" t="inlineStr">
        <is>
          <t>Cedar &amp; Co Accountants</t>
        </is>
      </c>
      <c r="D86" s="8" t="inlineStr">
        <is>
          <t>PAID</t>
        </is>
      </c>
      <c r="E86" s="8" t="inlineStr">
        <is>
          <t>2026-06-21</t>
        </is>
      </c>
      <c r="F86" s="8" t="inlineStr">
        <is>
          <t>2026-07-05</t>
        </is>
      </c>
      <c r="G86" s="9" t="n">
        <v>8052.53</v>
      </c>
      <c r="H86" s="9" t="n">
        <v>0</v>
      </c>
      <c r="I86" s="9" t="n">
        <v>8052.53</v>
      </c>
      <c r="J86" s="8" t="inlineStr">
        <is>
          <t>AUD</t>
        </is>
      </c>
      <c r="K86" s="8" t="inlineStr">
        <is>
          <t>Progress claim 2 — Cedar &amp; Co Accountants</t>
        </is>
      </c>
      <c r="L86" s="8" t="inlineStr">
        <is>
          <t>Xero</t>
        </is>
      </c>
      <c r="M86" s="8" t="inlineStr">
        <is>
          <t>RES-0082</t>
        </is>
      </c>
      <c r="N86" s="8" t="inlineStr">
        <is>
          <t>Progress claim 2</t>
        </is>
      </c>
      <c r="O86" s="9" t="n">
        <v>8052.53</v>
      </c>
      <c r="P86" s="9" t="n">
        <v>8052.53</v>
      </c>
    </row>
    <row r="87">
      <c r="A87" s="8" t="inlineStr">
        <is>
          <t>inv-0083</t>
        </is>
      </c>
      <c r="B87" s="8" t="inlineStr">
        <is>
          <t>INV-2083</t>
        </is>
      </c>
      <c r="C87" s="8" t="inlineStr">
        <is>
          <t>Ridgeline Electrical</t>
        </is>
      </c>
      <c r="D87" s="8" t="inlineStr">
        <is>
          <t>SUBMITTED</t>
        </is>
      </c>
      <c r="E87" s="8" t="inlineStr">
        <is>
          <t>2026-06-23</t>
        </is>
      </c>
      <c r="F87" s="8" t="inlineStr">
        <is>
          <t>2026-07-07</t>
        </is>
      </c>
      <c r="G87" s="9" t="n">
        <v>4052.61</v>
      </c>
      <c r="H87" s="9" t="n">
        <v>4052.61</v>
      </c>
      <c r="I87" s="9" t="n">
        <v>0</v>
      </c>
      <c r="J87" s="8" t="inlineStr">
        <is>
          <t>AUD</t>
        </is>
      </c>
      <c r="K87" s="8" t="inlineStr">
        <is>
          <t>Final — Ridgeline Electrical</t>
        </is>
      </c>
      <c r="L87" s="8" t="inlineStr">
        <is>
          <t>Xero</t>
        </is>
      </c>
      <c r="M87" s="8" t="inlineStr">
        <is>
          <t>RES-0083</t>
        </is>
      </c>
      <c r="N87" s="8" t="inlineStr">
        <is>
          <t>Final</t>
        </is>
      </c>
      <c r="O87" s="9" t="n">
        <v>4052.61</v>
      </c>
      <c r="P87" s="9" t="n">
        <v>0</v>
      </c>
    </row>
    <row r="88">
      <c r="A88" s="8" t="inlineStr">
        <is>
          <t>inv-0084</t>
        </is>
      </c>
      <c r="B88" s="8" t="inlineStr">
        <is>
          <t>INV-2084</t>
        </is>
      </c>
      <c r="C88" s="8" t="inlineStr">
        <is>
          <t>Bluewater Dental</t>
        </is>
      </c>
      <c r="D88" s="8" t="inlineStr">
        <is>
          <t>PAID</t>
        </is>
      </c>
      <c r="E88" s="8" t="inlineStr">
        <is>
          <t>2026-06-25</t>
        </is>
      </c>
      <c r="F88" s="8" t="inlineStr">
        <is>
          <t>2026-07-09</t>
        </is>
      </c>
      <c r="G88" s="9" t="n">
        <v>9391.92</v>
      </c>
      <c r="H88" s="9" t="n">
        <v>0</v>
      </c>
      <c r="I88" s="9" t="n">
        <v>9391.92</v>
      </c>
      <c r="J88" s="8" t="inlineStr">
        <is>
          <t>AUD</t>
        </is>
      </c>
      <c r="K88" s="8" t="inlineStr">
        <is>
          <t>Deposit — Bluewater Dental</t>
        </is>
      </c>
      <c r="L88" s="8" t="inlineStr">
        <is>
          <t>Xero</t>
        </is>
      </c>
      <c r="M88" s="8" t="inlineStr">
        <is>
          <t>RES-0084</t>
        </is>
      </c>
      <c r="N88" s="8" t="inlineStr">
        <is>
          <t>Deposit</t>
        </is>
      </c>
      <c r="O88" s="9" t="n">
        <v>9391.92</v>
      </c>
      <c r="P88" s="9" t="n">
        <v>9391.92</v>
      </c>
    </row>
    <row r="89">
      <c r="A89" s="8" t="inlineStr">
        <is>
          <t>inv-0085</t>
        </is>
      </c>
      <c r="B89" s="8" t="inlineStr">
        <is>
          <t>INV-2085</t>
        </is>
      </c>
      <c r="C89" s="8" t="inlineStr">
        <is>
          <t>Meridian Fitouts</t>
        </is>
      </c>
      <c r="D89" s="8" t="inlineStr">
        <is>
          <t>AUTHORISED</t>
        </is>
      </c>
      <c r="E89" s="8" t="inlineStr">
        <is>
          <t>2026-06-27</t>
        </is>
      </c>
      <c r="F89" s="8" t="inlineStr">
        <is>
          <t>2026-07-11</t>
        </is>
      </c>
      <c r="G89" s="9" t="n">
        <v>7834.88</v>
      </c>
      <c r="H89" s="9" t="n">
        <v>7834.88</v>
      </c>
      <c r="I89" s="9" t="n">
        <v>0</v>
      </c>
      <c r="J89" s="8" t="inlineStr">
        <is>
          <t>AUD</t>
        </is>
      </c>
      <c r="K89" s="8" t="inlineStr">
        <is>
          <t>Progress claim 1 — Meridian Fitouts</t>
        </is>
      </c>
      <c r="L89" s="8" t="inlineStr">
        <is>
          <t>Xero</t>
        </is>
      </c>
      <c r="M89" s="8" t="inlineStr">
        <is>
          <t>RES-0085</t>
        </is>
      </c>
      <c r="N89" s="8" t="inlineStr">
        <is>
          <t>Progress claim 1</t>
        </is>
      </c>
      <c r="O89" s="9" t="n">
        <v>7834.88</v>
      </c>
      <c r="P89" s="9" t="n">
        <v>0</v>
      </c>
    </row>
    <row r="90">
      <c r="A90" s="8" t="inlineStr">
        <is>
          <t>inv-0086</t>
        </is>
      </c>
      <c r="B90" s="8" t="inlineStr">
        <is>
          <t>INV-2086</t>
        </is>
      </c>
      <c r="C90" s="8" t="inlineStr">
        <is>
          <t>Talbot Freight</t>
        </is>
      </c>
      <c r="D90" s="8" t="inlineStr">
        <is>
          <t>PAID</t>
        </is>
      </c>
      <c r="E90" s="8" t="inlineStr">
        <is>
          <t>2026-06-29</t>
        </is>
      </c>
      <c r="F90" s="8" t="inlineStr">
        <is>
          <t>2026-07-13</t>
        </is>
      </c>
      <c r="G90" s="9" t="n">
        <v>5626</v>
      </c>
      <c r="H90" s="9" t="n">
        <v>0</v>
      </c>
      <c r="I90" s="9" t="n">
        <v>5626</v>
      </c>
      <c r="J90" s="8" t="inlineStr">
        <is>
          <t>AUD</t>
        </is>
      </c>
      <c r="K90" s="8" t="inlineStr">
        <is>
          <t>Progress claim 2 — Talbot Freight</t>
        </is>
      </c>
      <c r="L90" s="8" t="inlineStr">
        <is>
          <t>Xero</t>
        </is>
      </c>
      <c r="M90" s="8" t="inlineStr">
        <is>
          <t>RES-0086</t>
        </is>
      </c>
      <c r="N90" s="8" t="inlineStr">
        <is>
          <t>Progress claim 2</t>
        </is>
      </c>
      <c r="O90" s="9" t="n">
        <v>5626</v>
      </c>
      <c r="P90" s="9" t="n">
        <v>5626</v>
      </c>
    </row>
    <row r="91">
      <c r="A91" s="8" t="inlineStr">
        <is>
          <t>inv-0087</t>
        </is>
      </c>
      <c r="B91" s="8" t="inlineStr">
        <is>
          <t>INV-2087</t>
        </is>
      </c>
      <c r="C91" s="8" t="inlineStr">
        <is>
          <t>Kingsway Pharmacy</t>
        </is>
      </c>
      <c r="D91" s="8" t="inlineStr">
        <is>
          <t>SUBMITTED</t>
        </is>
      </c>
      <c r="E91" s="8" t="inlineStr">
        <is>
          <t>2026-07-01</t>
        </is>
      </c>
      <c r="F91" s="8" t="inlineStr">
        <is>
          <t>2026-07-15</t>
        </is>
      </c>
      <c r="G91" s="9" t="n">
        <v>1727.72</v>
      </c>
      <c r="H91" s="9" t="n">
        <v>1727.72</v>
      </c>
      <c r="I91" s="9" t="n">
        <v>0</v>
      </c>
      <c r="J91" s="8" t="inlineStr">
        <is>
          <t>AUD</t>
        </is>
      </c>
      <c r="K91" s="8" t="inlineStr">
        <is>
          <t>Final — Kingsway Pharmacy</t>
        </is>
      </c>
      <c r="L91" s="8" t="inlineStr">
        <is>
          <t>Xero</t>
        </is>
      </c>
      <c r="M91" s="9" t="n">
        <v/>
      </c>
      <c r="N91" s="8" t="inlineStr">
        <is>
          <t>Unassigned</t>
        </is>
      </c>
      <c r="O91" s="9" t="n">
        <v/>
      </c>
      <c r="P91" s="9" t="n">
        <v/>
      </c>
    </row>
    <row r="92">
      <c r="A92" s="8" t="inlineStr">
        <is>
          <t>inv-0088</t>
        </is>
      </c>
      <c r="B92" s="8" t="inlineStr">
        <is>
          <t>INV-2088</t>
        </is>
      </c>
      <c r="C92" s="8" t="inlineStr">
        <is>
          <t>Silverfern Studios</t>
        </is>
      </c>
      <c r="D92" s="8" t="inlineStr">
        <is>
          <t>PAID</t>
        </is>
      </c>
      <c r="E92" s="8" t="inlineStr">
        <is>
          <t>2026-07-03</t>
        </is>
      </c>
      <c r="F92" s="8" t="inlineStr">
        <is>
          <t>2026-07-17</t>
        </is>
      </c>
      <c r="G92" s="9" t="n">
        <v>7881.01</v>
      </c>
      <c r="H92" s="9" t="n">
        <v>0</v>
      </c>
      <c r="I92" s="9" t="n">
        <v>7881.01</v>
      </c>
      <c r="J92" s="8" t="inlineStr">
        <is>
          <t>AUD</t>
        </is>
      </c>
      <c r="K92" s="8" t="inlineStr">
        <is>
          <t>Deposit — Silverfern Studios</t>
        </is>
      </c>
      <c r="L92" s="8" t="inlineStr">
        <is>
          <t>Xero</t>
        </is>
      </c>
      <c r="M92" s="8" t="inlineStr">
        <is>
          <t>RES-0088</t>
        </is>
      </c>
      <c r="N92" s="8" t="inlineStr">
        <is>
          <t>Deposit</t>
        </is>
      </c>
      <c r="O92" s="9" t="n">
        <v>7881.01</v>
      </c>
      <c r="P92" s="9" t="n">
        <v>7881.01</v>
      </c>
    </row>
    <row r="93">
      <c r="A93" s="8" t="inlineStr">
        <is>
          <t>inv-0089</t>
        </is>
      </c>
      <c r="B93" s="8" t="inlineStr">
        <is>
          <t>INV-2089</t>
        </is>
      </c>
      <c r="C93" s="8" t="inlineStr">
        <is>
          <t>Hollis Constructions</t>
        </is>
      </c>
      <c r="D93" s="8" t="inlineStr">
        <is>
          <t>PAID</t>
        </is>
      </c>
      <c r="E93" s="8" t="inlineStr">
        <is>
          <t>2026-07-05</t>
        </is>
      </c>
      <c r="F93" s="8" t="inlineStr">
        <is>
          <t>2026-07-19</t>
        </is>
      </c>
      <c r="G93" s="9" t="n">
        <v>8020.86</v>
      </c>
      <c r="H93" s="9" t="n">
        <v>0</v>
      </c>
      <c r="I93" s="9" t="n">
        <v>8020.86</v>
      </c>
      <c r="J93" s="8" t="inlineStr">
        <is>
          <t>AUD</t>
        </is>
      </c>
      <c r="K93" s="8" t="inlineStr">
        <is>
          <t>Progress claim 1 — Hollis Constructions</t>
        </is>
      </c>
      <c r="L93" s="8" t="inlineStr">
        <is>
          <t>Xero</t>
        </is>
      </c>
      <c r="M93" s="8" t="inlineStr">
        <is>
          <t>RES-0089</t>
        </is>
      </c>
      <c r="N93" s="8" t="inlineStr">
        <is>
          <t>Progress claim 1</t>
        </is>
      </c>
      <c r="O93" s="9" t="n">
        <v>8020.86</v>
      </c>
      <c r="P93" s="9" t="n">
        <v>8020.86</v>
      </c>
    </row>
    <row r="94">
      <c r="A94" s="8" t="inlineStr">
        <is>
          <t>inv-0090</t>
        </is>
      </c>
      <c r="B94" s="8" t="inlineStr">
        <is>
          <t>INV-2090</t>
        </is>
      </c>
      <c r="C94" s="8" t="inlineStr">
        <is>
          <t>Northgate Property Group</t>
        </is>
      </c>
      <c r="D94" s="8" t="inlineStr">
        <is>
          <t>PAID</t>
        </is>
      </c>
      <c r="E94" s="8" t="inlineStr">
        <is>
          <t>2026-07-07</t>
        </is>
      </c>
      <c r="F94" s="8" t="inlineStr">
        <is>
          <t>2026-07-21</t>
        </is>
      </c>
      <c r="G94" s="9" t="n">
        <v>2324.57</v>
      </c>
      <c r="H94" s="9" t="n">
        <v>0</v>
      </c>
      <c r="I94" s="9" t="n">
        <v>2324.57</v>
      </c>
      <c r="J94" s="8" t="inlineStr">
        <is>
          <t>AUD</t>
        </is>
      </c>
      <c r="K94" s="8" t="inlineStr">
        <is>
          <t>Progress claim 2 — Northgate Property Group</t>
        </is>
      </c>
      <c r="L94" s="8" t="inlineStr">
        <is>
          <t>Xero</t>
        </is>
      </c>
      <c r="M94" s="8" t="inlineStr">
        <is>
          <t>RES-0090</t>
        </is>
      </c>
      <c r="N94" s="8" t="inlineStr">
        <is>
          <t>Progress claim 2</t>
        </is>
      </c>
      <c r="O94" s="9" t="n">
        <v>2324.57</v>
      </c>
      <c r="P94" s="9" t="n">
        <v>2324.57</v>
      </c>
    </row>
    <row r="95">
      <c r="A95" s="8" t="inlineStr">
        <is>
          <t>inv-0091</t>
        </is>
      </c>
      <c r="B95" s="8" t="inlineStr">
        <is>
          <t>INV-2091</t>
        </is>
      </c>
      <c r="C95" s="8" t="inlineStr">
        <is>
          <t>Harbourline Logistics</t>
        </is>
      </c>
      <c r="D95" s="8" t="inlineStr">
        <is>
          <t>AUTHORISED</t>
        </is>
      </c>
      <c r="E95" s="8" t="inlineStr">
        <is>
          <t>2026-07-09</t>
        </is>
      </c>
      <c r="F95" s="8" t="inlineStr">
        <is>
          <t>2026-07-23</t>
        </is>
      </c>
      <c r="G95" s="9" t="n">
        <v>5476.4</v>
      </c>
      <c r="H95" s="9" t="n">
        <v>5476.4</v>
      </c>
      <c r="I95" s="9" t="n">
        <v>0</v>
      </c>
      <c r="J95" s="8" t="inlineStr">
        <is>
          <t>AUD</t>
        </is>
      </c>
      <c r="K95" s="8" t="inlineStr">
        <is>
          <t>Final — Harbourline Logistics</t>
        </is>
      </c>
      <c r="L95" s="8" t="inlineStr">
        <is>
          <t>Xero</t>
        </is>
      </c>
      <c r="M95" s="8" t="inlineStr">
        <is>
          <t>RES-0091</t>
        </is>
      </c>
      <c r="N95" s="8" t="inlineStr">
        <is>
          <t>Final</t>
        </is>
      </c>
      <c r="O95" s="9" t="n">
        <v>5476.4</v>
      </c>
      <c r="P95" s="9" t="n">
        <v>0</v>
      </c>
    </row>
    <row r="96">
      <c r="A96" s="8" t="inlineStr">
        <is>
          <t>inv-0092</t>
        </is>
      </c>
      <c r="B96" s="8" t="inlineStr">
        <is>
          <t>INV-2092</t>
        </is>
      </c>
      <c r="C96" s="8" t="inlineStr">
        <is>
          <t>Cedar &amp; Co Accountants</t>
        </is>
      </c>
      <c r="D96" s="8" t="inlineStr">
        <is>
          <t>PAID</t>
        </is>
      </c>
      <c r="E96" s="8" t="inlineStr">
        <is>
          <t>2026-07-11</t>
        </is>
      </c>
      <c r="F96" s="8" t="inlineStr">
        <is>
          <t>2026-07-25</t>
        </is>
      </c>
      <c r="G96" s="9" t="n">
        <v>2314.15</v>
      </c>
      <c r="H96" s="9" t="n">
        <v>0</v>
      </c>
      <c r="I96" s="9" t="n">
        <v>2314.15</v>
      </c>
      <c r="J96" s="8" t="inlineStr">
        <is>
          <t>AUD</t>
        </is>
      </c>
      <c r="K96" s="8" t="inlineStr">
        <is>
          <t>Deposit — Cedar &amp; Co Accountants</t>
        </is>
      </c>
      <c r="L96" s="8" t="inlineStr">
        <is>
          <t>Xero</t>
        </is>
      </c>
      <c r="M96" s="8" t="inlineStr">
        <is>
          <t>RES-0092</t>
        </is>
      </c>
      <c r="N96" s="8" t="inlineStr">
        <is>
          <t>Deposit</t>
        </is>
      </c>
      <c r="O96" s="9" t="n">
        <v>2314.15</v>
      </c>
      <c r="P96" s="9" t="n">
        <v>2314.15</v>
      </c>
    </row>
    <row r="97">
      <c r="A97" s="8" t="inlineStr">
        <is>
          <t>inv-0093</t>
        </is>
      </c>
      <c r="B97" s="8" t="inlineStr">
        <is>
          <t>INV-2093</t>
        </is>
      </c>
      <c r="C97" s="8" t="inlineStr">
        <is>
          <t>Ridgeline Electrical</t>
        </is>
      </c>
      <c r="D97" s="8" t="inlineStr">
        <is>
          <t>PAID</t>
        </is>
      </c>
      <c r="E97" s="8" t="inlineStr">
        <is>
          <t>2026-07-13</t>
        </is>
      </c>
      <c r="F97" s="8" t="inlineStr">
        <is>
          <t>2026-07-27</t>
        </is>
      </c>
      <c r="G97" s="9" t="n">
        <v>7544.51</v>
      </c>
      <c r="H97" s="9" t="n">
        <v>0</v>
      </c>
      <c r="I97" s="9" t="n">
        <v>7544.51</v>
      </c>
      <c r="J97" s="8" t="inlineStr">
        <is>
          <t>AUD</t>
        </is>
      </c>
      <c r="K97" s="8" t="inlineStr">
        <is>
          <t>Progress claim 1 — Ridgeline Electrical</t>
        </is>
      </c>
      <c r="L97" s="8" t="inlineStr">
        <is>
          <t>Xero</t>
        </is>
      </c>
      <c r="M97" s="8" t="inlineStr">
        <is>
          <t>RES-0093</t>
        </is>
      </c>
      <c r="N97" s="8" t="inlineStr">
        <is>
          <t>Progress claim 1</t>
        </is>
      </c>
      <c r="O97" s="9" t="n">
        <v>7544.51</v>
      </c>
      <c r="P97" s="9" t="n">
        <v>7544.51</v>
      </c>
    </row>
    <row r="98">
      <c r="A98" s="8" t="inlineStr">
        <is>
          <t>inv-0094</t>
        </is>
      </c>
      <c r="B98" s="8" t="inlineStr">
        <is>
          <t>INV-2094</t>
        </is>
      </c>
      <c r="C98" s="8" t="inlineStr">
        <is>
          <t>Bluewater Dental</t>
        </is>
      </c>
      <c r="D98" s="8" t="inlineStr">
        <is>
          <t>PAID</t>
        </is>
      </c>
      <c r="E98" s="8" t="inlineStr">
        <is>
          <t>2026-07-15</t>
        </is>
      </c>
      <c r="F98" s="8" t="inlineStr">
        <is>
          <t>2026-07-29</t>
        </is>
      </c>
      <c r="G98" s="9" t="n">
        <v>8915.73</v>
      </c>
      <c r="H98" s="9" t="n">
        <v>0</v>
      </c>
      <c r="I98" s="9" t="n">
        <v>8915.73</v>
      </c>
      <c r="J98" s="8" t="inlineStr">
        <is>
          <t>AUD</t>
        </is>
      </c>
      <c r="K98" s="8" t="inlineStr">
        <is>
          <t>Progress claim 2 — Bluewater Dental</t>
        </is>
      </c>
      <c r="L98" s="8" t="inlineStr">
        <is>
          <t>Xero</t>
        </is>
      </c>
      <c r="M98" s="9" t="n">
        <v/>
      </c>
      <c r="N98" s="8" t="inlineStr">
        <is>
          <t>Unassigned</t>
        </is>
      </c>
      <c r="O98" s="9" t="n">
        <v/>
      </c>
      <c r="P98" s="9" t="n">
        <v/>
      </c>
    </row>
    <row r="99">
      <c r="A99" s="8" t="inlineStr">
        <is>
          <t>inv-0095</t>
        </is>
      </c>
      <c r="B99" s="8" t="inlineStr">
        <is>
          <t>INV-2095</t>
        </is>
      </c>
      <c r="C99" s="8" t="inlineStr">
        <is>
          <t>Meridian Fitouts</t>
        </is>
      </c>
      <c r="D99" s="8" t="inlineStr">
        <is>
          <t>PAID</t>
        </is>
      </c>
      <c r="E99" s="8" t="inlineStr">
        <is>
          <t>2026-07-17</t>
        </is>
      </c>
      <c r="F99" s="8" t="inlineStr">
        <is>
          <t>2026-07-31</t>
        </is>
      </c>
      <c r="G99" s="9" t="n">
        <v>5956.13</v>
      </c>
      <c r="H99" s="9" t="n">
        <v>0</v>
      </c>
      <c r="I99" s="9" t="n">
        <v>5956.13</v>
      </c>
      <c r="J99" s="8" t="inlineStr">
        <is>
          <t>AUD</t>
        </is>
      </c>
      <c r="K99" s="8" t="inlineStr">
        <is>
          <t>Final — Meridian Fitouts</t>
        </is>
      </c>
      <c r="L99" s="8" t="inlineStr">
        <is>
          <t>Xero</t>
        </is>
      </c>
      <c r="M99" s="8" t="inlineStr">
        <is>
          <t>RES-0095</t>
        </is>
      </c>
      <c r="N99" s="8" t="inlineStr">
        <is>
          <t>Final</t>
        </is>
      </c>
      <c r="O99" s="9" t="n">
        <v>5956.13</v>
      </c>
      <c r="P99" s="9" t="n">
        <v>5956.13</v>
      </c>
    </row>
    <row r="100">
      <c r="A100" s="8" t="inlineStr">
        <is>
          <t>inv-0096</t>
        </is>
      </c>
      <c r="B100" s="8" t="inlineStr">
        <is>
          <t>INV-2096</t>
        </is>
      </c>
      <c r="C100" s="8" t="inlineStr">
        <is>
          <t>Talbot Freight</t>
        </is>
      </c>
      <c r="D100" s="8" t="inlineStr">
        <is>
          <t>SUBMITTED</t>
        </is>
      </c>
      <c r="E100" s="8" t="inlineStr">
        <is>
          <t>2026-07-19</t>
        </is>
      </c>
      <c r="F100" s="8" t="inlineStr">
        <is>
          <t>2026-08-02</t>
        </is>
      </c>
      <c r="G100" s="9" t="n">
        <v>3144.1</v>
      </c>
      <c r="H100" s="9" t="n">
        <v>3144.1</v>
      </c>
      <c r="I100" s="9" t="n">
        <v>0</v>
      </c>
      <c r="J100" s="8" t="inlineStr">
        <is>
          <t>AUD</t>
        </is>
      </c>
      <c r="K100" s="8" t="inlineStr">
        <is>
          <t>Deposit — Talbot Freight</t>
        </is>
      </c>
      <c r="L100" s="8" t="inlineStr">
        <is>
          <t>Xero</t>
        </is>
      </c>
      <c r="M100" s="8" t="inlineStr">
        <is>
          <t>RES-0096</t>
        </is>
      </c>
      <c r="N100" s="8" t="inlineStr">
        <is>
          <t>Deposit</t>
        </is>
      </c>
      <c r="O100" s="9" t="n">
        <v>3144.1</v>
      </c>
      <c r="P100" s="9" t="n">
        <v>0</v>
      </c>
    </row>
    <row r="101">
      <c r="A101" s="8" t="inlineStr">
        <is>
          <t>inv-0097</t>
        </is>
      </c>
      <c r="B101" s="8" t="inlineStr">
        <is>
          <t>INV-2097</t>
        </is>
      </c>
      <c r="C101" s="8" t="inlineStr">
        <is>
          <t>Kingsway Pharmacy</t>
        </is>
      </c>
      <c r="D101" s="8" t="inlineStr">
        <is>
          <t>PAID</t>
        </is>
      </c>
      <c r="E101" s="8" t="inlineStr">
        <is>
          <t>2026-07-21</t>
        </is>
      </c>
      <c r="F101" s="8" t="inlineStr">
        <is>
          <t>2026-08-04</t>
        </is>
      </c>
      <c r="G101" s="9" t="n">
        <v>3575.61</v>
      </c>
      <c r="H101" s="9" t="n">
        <v>0</v>
      </c>
      <c r="I101" s="9" t="n">
        <v>3575.61</v>
      </c>
      <c r="J101" s="8" t="inlineStr">
        <is>
          <t>AUD</t>
        </is>
      </c>
      <c r="K101" s="8" t="inlineStr">
        <is>
          <t>Progress claim 1 — Kingsway Pharmacy</t>
        </is>
      </c>
      <c r="L101" s="8" t="inlineStr">
        <is>
          <t>Xero</t>
        </is>
      </c>
      <c r="M101" s="8" t="inlineStr">
        <is>
          <t>RES-0097</t>
        </is>
      </c>
      <c r="N101" s="8" t="inlineStr">
        <is>
          <t>Progress claim 1</t>
        </is>
      </c>
      <c r="O101" s="9" t="n">
        <v>3575.61</v>
      </c>
      <c r="P101" s="9" t="n">
        <v>3575.61</v>
      </c>
    </row>
    <row r="102">
      <c r="A102" s="8" t="inlineStr">
        <is>
          <t>inv-0098</t>
        </is>
      </c>
      <c r="B102" s="8" t="inlineStr">
        <is>
          <t>INV-2098</t>
        </is>
      </c>
      <c r="C102" s="8" t="inlineStr">
        <is>
          <t>Silverfern Studios</t>
        </is>
      </c>
      <c r="D102" s="8" t="inlineStr">
        <is>
          <t>AUTHORISED</t>
        </is>
      </c>
      <c r="E102" s="8" t="inlineStr">
        <is>
          <t>2026-07-23</t>
        </is>
      </c>
      <c r="F102" s="8" t="inlineStr">
        <is>
          <t>2026-08-06</t>
        </is>
      </c>
      <c r="G102" s="9" t="n">
        <v>9679.620000000001</v>
      </c>
      <c r="H102" s="9" t="n">
        <v>9679.620000000001</v>
      </c>
      <c r="I102" s="9" t="n">
        <v>0</v>
      </c>
      <c r="J102" s="8" t="inlineStr">
        <is>
          <t>AUD</t>
        </is>
      </c>
      <c r="K102" s="8" t="inlineStr">
        <is>
          <t>Progress claim 2 — Silverfern Studios</t>
        </is>
      </c>
      <c r="L102" s="8" t="inlineStr">
        <is>
          <t>Xero</t>
        </is>
      </c>
      <c r="M102" s="8" t="inlineStr">
        <is>
          <t>RES-0098</t>
        </is>
      </c>
      <c r="N102" s="8" t="inlineStr">
        <is>
          <t>Progress claim 2</t>
        </is>
      </c>
      <c r="O102" s="9" t="n">
        <v>9679.620000000001</v>
      </c>
      <c r="P102" s="9" t="n">
        <v>0</v>
      </c>
    </row>
    <row r="103">
      <c r="A103" s="8" t="inlineStr">
        <is>
          <t>inv-0099</t>
        </is>
      </c>
      <c r="B103" s="8" t="inlineStr">
        <is>
          <t>INV-2099</t>
        </is>
      </c>
      <c r="C103" s="8" t="inlineStr">
        <is>
          <t>Hollis Constructions</t>
        </is>
      </c>
      <c r="D103" s="8" t="inlineStr">
        <is>
          <t>PAID</t>
        </is>
      </c>
      <c r="E103" s="8" t="inlineStr">
        <is>
          <t>2026-07-25</t>
        </is>
      </c>
      <c r="F103" s="8" t="inlineStr">
        <is>
          <t>2026-08-08</t>
        </is>
      </c>
      <c r="G103" s="9" t="n">
        <v>6927.66</v>
      </c>
      <c r="H103" s="9" t="n">
        <v>0</v>
      </c>
      <c r="I103" s="9" t="n">
        <v>6927.66</v>
      </c>
      <c r="J103" s="8" t="inlineStr">
        <is>
          <t>AUD</t>
        </is>
      </c>
      <c r="K103" s="8" t="inlineStr">
        <is>
          <t>Final — Hollis Constructions</t>
        </is>
      </c>
      <c r="L103" s="8" t="inlineStr">
        <is>
          <t>Xero</t>
        </is>
      </c>
      <c r="M103" s="8" t="inlineStr">
        <is>
          <t>RES-0099</t>
        </is>
      </c>
      <c r="N103" s="8" t="inlineStr">
        <is>
          <t>Final</t>
        </is>
      </c>
      <c r="O103" s="9" t="n">
        <v>6927.66</v>
      </c>
      <c r="P103" s="9" t="n">
        <v>6927.66</v>
      </c>
    </row>
    <row r="104">
      <c r="A104" s="8" t="inlineStr">
        <is>
          <t>inv-0100</t>
        </is>
      </c>
      <c r="B104" s="8" t="inlineStr">
        <is>
          <t>INV-2100</t>
        </is>
      </c>
      <c r="C104" s="8" t="inlineStr">
        <is>
          <t>Northgate Property Group</t>
        </is>
      </c>
      <c r="D104" s="8" t="inlineStr">
        <is>
          <t>PAID</t>
        </is>
      </c>
      <c r="E104" s="8" t="inlineStr">
        <is>
          <t>2026-07-27</t>
        </is>
      </c>
      <c r="F104" s="8" t="inlineStr">
        <is>
          <t>2026-08-10</t>
        </is>
      </c>
      <c r="G104" s="9" t="n">
        <v>3873.76</v>
      </c>
      <c r="H104" s="9" t="n">
        <v>0</v>
      </c>
      <c r="I104" s="9" t="n">
        <v>3873.76</v>
      </c>
      <c r="J104" s="8" t="inlineStr">
        <is>
          <t>AUD</t>
        </is>
      </c>
      <c r="K104" s="8" t="inlineStr">
        <is>
          <t>Deposit — Northgate Property Group</t>
        </is>
      </c>
      <c r="L104" s="8" t="inlineStr">
        <is>
          <t>Xero</t>
        </is>
      </c>
      <c r="M104" s="8" t="inlineStr">
        <is>
          <t>RES-0100</t>
        </is>
      </c>
      <c r="N104" s="8" t="inlineStr">
        <is>
          <t>Deposit</t>
        </is>
      </c>
      <c r="O104" s="9" t="n">
        <v>3873.76</v>
      </c>
      <c r="P104" s="9" t="n">
        <v>3873.76</v>
      </c>
    </row>
    <row r="105">
      <c r="A105" s="8" t="inlineStr">
        <is>
          <t>inv-0101</t>
        </is>
      </c>
      <c r="B105" s="8" t="inlineStr">
        <is>
          <t>INV-2101</t>
        </is>
      </c>
      <c r="C105" s="8" t="inlineStr">
        <is>
          <t>Harbourline Logistics</t>
        </is>
      </c>
      <c r="D105" s="8" t="inlineStr">
        <is>
          <t>PAID</t>
        </is>
      </c>
      <c r="E105" s="8" t="inlineStr">
        <is>
          <t>2026-07-29</t>
        </is>
      </c>
      <c r="F105" s="8" t="inlineStr">
        <is>
          <t>2026-08-12</t>
        </is>
      </c>
      <c r="G105" s="9" t="n">
        <v>8949.200000000001</v>
      </c>
      <c r="H105" s="9" t="n">
        <v>0</v>
      </c>
      <c r="I105" s="9" t="n">
        <v>8949.200000000001</v>
      </c>
      <c r="J105" s="8" t="inlineStr">
        <is>
          <t>AUD</t>
        </is>
      </c>
      <c r="K105" s="8" t="inlineStr">
        <is>
          <t>Progress claim 1 — Harbourline Logistics</t>
        </is>
      </c>
      <c r="L105" s="8" t="inlineStr">
        <is>
          <t>Xero</t>
        </is>
      </c>
      <c r="M105" s="9" t="n">
        <v/>
      </c>
      <c r="N105" s="8" t="inlineStr">
        <is>
          <t>Unassigned</t>
        </is>
      </c>
      <c r="O105" s="9" t="n">
        <v/>
      </c>
      <c r="P105" s="9" t="n">
        <v/>
      </c>
    </row>
    <row r="106">
      <c r="A106" s="8" t="inlineStr">
        <is>
          <t>inv-0102</t>
        </is>
      </c>
      <c r="B106" s="8" t="inlineStr">
        <is>
          <t>INV-2102</t>
        </is>
      </c>
      <c r="C106" s="8" t="inlineStr">
        <is>
          <t>Cedar &amp; Co Accountants</t>
        </is>
      </c>
      <c r="D106" s="8" t="inlineStr">
        <is>
          <t>AUTHORISED</t>
        </is>
      </c>
      <c r="E106" s="8" t="inlineStr">
        <is>
          <t>2026-07-31</t>
        </is>
      </c>
      <c r="F106" s="8" t="inlineStr">
        <is>
          <t>2026-08-14</t>
        </is>
      </c>
      <c r="G106" s="9" t="n">
        <v>3216.87</v>
      </c>
      <c r="H106" s="9" t="n">
        <v>3216.87</v>
      </c>
      <c r="I106" s="9" t="n">
        <v>0</v>
      </c>
      <c r="J106" s="8" t="inlineStr">
        <is>
          <t>AUD</t>
        </is>
      </c>
      <c r="K106" s="8" t="inlineStr">
        <is>
          <t>Progress claim 2 — Cedar &amp; Co Accountants</t>
        </is>
      </c>
      <c r="L106" s="8" t="inlineStr">
        <is>
          <t>Xero</t>
        </is>
      </c>
      <c r="M106" s="8" t="inlineStr">
        <is>
          <t>RES-0102</t>
        </is>
      </c>
      <c r="N106" s="8" t="inlineStr">
        <is>
          <t>Progress claim 2</t>
        </is>
      </c>
      <c r="O106" s="9" t="n">
        <v>3216.87</v>
      </c>
      <c r="P106" s="9" t="n">
        <v>0</v>
      </c>
    </row>
    <row r="107">
      <c r="A107" s="8" t="inlineStr">
        <is>
          <t>inv-0103</t>
        </is>
      </c>
      <c r="B107" s="8" t="inlineStr">
        <is>
          <t>INV-2103</t>
        </is>
      </c>
      <c r="C107" s="8" t="inlineStr">
        <is>
          <t>Ridgeline Electrical</t>
        </is>
      </c>
      <c r="D107" s="8" t="inlineStr">
        <is>
          <t>PAID</t>
        </is>
      </c>
      <c r="E107" s="8" t="inlineStr">
        <is>
          <t>2026-08-02</t>
        </is>
      </c>
      <c r="F107" s="8" t="inlineStr">
        <is>
          <t>2026-08-16</t>
        </is>
      </c>
      <c r="G107" s="9" t="n">
        <v>4991.73</v>
      </c>
      <c r="H107" s="9" t="n">
        <v>0</v>
      </c>
      <c r="I107" s="9" t="n">
        <v>4991.73</v>
      </c>
      <c r="J107" s="8" t="inlineStr">
        <is>
          <t>AUD</t>
        </is>
      </c>
      <c r="K107" s="8" t="inlineStr">
        <is>
          <t>Final — Ridgeline Electrical</t>
        </is>
      </c>
      <c r="L107" s="8" t="inlineStr">
        <is>
          <t>Xero</t>
        </is>
      </c>
      <c r="M107" s="8" t="inlineStr">
        <is>
          <t>RES-0103</t>
        </is>
      </c>
      <c r="N107" s="8" t="inlineStr">
        <is>
          <t>Final</t>
        </is>
      </c>
      <c r="O107" s="9" t="n">
        <v>4991.73</v>
      </c>
      <c r="P107" s="9" t="n">
        <v>4991.73</v>
      </c>
    </row>
    <row r="108">
      <c r="A108" s="8" t="inlineStr">
        <is>
          <t>inv-0104</t>
        </is>
      </c>
      <c r="B108" s="8" t="inlineStr">
        <is>
          <t>INV-2104</t>
        </is>
      </c>
      <c r="C108" s="8" t="inlineStr">
        <is>
          <t>Bluewater Dental</t>
        </is>
      </c>
      <c r="D108" s="8" t="inlineStr">
        <is>
          <t>AUTHORISED</t>
        </is>
      </c>
      <c r="E108" s="8" t="inlineStr">
        <is>
          <t>2026-08-04</t>
        </is>
      </c>
      <c r="F108" s="8" t="inlineStr">
        <is>
          <t>2026-08-18</t>
        </is>
      </c>
      <c r="G108" s="9" t="n">
        <v>1699.63</v>
      </c>
      <c r="H108" s="9" t="n">
        <v>1699.63</v>
      </c>
      <c r="I108" s="9" t="n">
        <v>0</v>
      </c>
      <c r="J108" s="8" t="inlineStr">
        <is>
          <t>AUD</t>
        </is>
      </c>
      <c r="K108" s="8" t="inlineStr">
        <is>
          <t>Deposit — Bluewater Dental</t>
        </is>
      </c>
      <c r="L108" s="8" t="inlineStr">
        <is>
          <t>Xero</t>
        </is>
      </c>
      <c r="M108" s="8" t="inlineStr">
        <is>
          <t>RES-0104</t>
        </is>
      </c>
      <c r="N108" s="8" t="inlineStr">
        <is>
          <t>Deposit</t>
        </is>
      </c>
      <c r="O108" s="9" t="n">
        <v>1699.63</v>
      </c>
      <c r="P108" s="9" t="n">
        <v>0</v>
      </c>
    </row>
    <row r="109">
      <c r="A109" s="8" t="inlineStr">
        <is>
          <t>inv-0105</t>
        </is>
      </c>
      <c r="B109" s="8" t="inlineStr">
        <is>
          <t>INV-2105</t>
        </is>
      </c>
      <c r="C109" s="8" t="inlineStr">
        <is>
          <t>Meridian Fitouts</t>
        </is>
      </c>
      <c r="D109" s="8" t="inlineStr">
        <is>
          <t>PAID</t>
        </is>
      </c>
      <c r="E109" s="8" t="inlineStr">
        <is>
          <t>2026-08-06</t>
        </is>
      </c>
      <c r="F109" s="8" t="inlineStr">
        <is>
          <t>2026-08-20</t>
        </is>
      </c>
      <c r="G109" s="9" t="n">
        <v>2515.99</v>
      </c>
      <c r="H109" s="9" t="n">
        <v>0</v>
      </c>
      <c r="I109" s="9" t="n">
        <v>2515.99</v>
      </c>
      <c r="J109" s="8" t="inlineStr">
        <is>
          <t>AUD</t>
        </is>
      </c>
      <c r="K109" s="8" t="inlineStr">
        <is>
          <t>Progress claim 1 — Meridian Fitouts</t>
        </is>
      </c>
      <c r="L109" s="8" t="inlineStr">
        <is>
          <t>Xero</t>
        </is>
      </c>
      <c r="M109" s="8" t="inlineStr">
        <is>
          <t>RES-0105</t>
        </is>
      </c>
      <c r="N109" s="8" t="inlineStr">
        <is>
          <t>Progress claim 1</t>
        </is>
      </c>
      <c r="O109" s="9" t="n">
        <v>2515.99</v>
      </c>
      <c r="P109" s="9" t="n">
        <v>2515.99</v>
      </c>
    </row>
    <row r="110">
      <c r="A110" s="8" t="inlineStr">
        <is>
          <t>inv-0106</t>
        </is>
      </c>
      <c r="B110" s="8" t="inlineStr">
        <is>
          <t>INV-2106</t>
        </is>
      </c>
      <c r="C110" s="8" t="inlineStr">
        <is>
          <t>Talbot Freight</t>
        </is>
      </c>
      <c r="D110" s="8" t="inlineStr">
        <is>
          <t>AUTHORISED</t>
        </is>
      </c>
      <c r="E110" s="8" t="inlineStr">
        <is>
          <t>2026-08-08</t>
        </is>
      </c>
      <c r="F110" s="8" t="inlineStr">
        <is>
          <t>2026-08-22</t>
        </is>
      </c>
      <c r="G110" s="9" t="n">
        <v>2399.9</v>
      </c>
      <c r="H110" s="9" t="n">
        <v>2399.9</v>
      </c>
      <c r="I110" s="9" t="n">
        <v>0</v>
      </c>
      <c r="J110" s="8" t="inlineStr">
        <is>
          <t>AUD</t>
        </is>
      </c>
      <c r="K110" s="8" t="inlineStr">
        <is>
          <t>Progress claim 2 — Talbot Freight</t>
        </is>
      </c>
      <c r="L110" s="8" t="inlineStr">
        <is>
          <t>Xero</t>
        </is>
      </c>
      <c r="M110" s="8" t="inlineStr">
        <is>
          <t>RES-0106</t>
        </is>
      </c>
      <c r="N110" s="8" t="inlineStr">
        <is>
          <t>Progress claim 2</t>
        </is>
      </c>
      <c r="O110" s="9" t="n">
        <v>2399.9</v>
      </c>
      <c r="P110" s="9" t="n">
        <v>0</v>
      </c>
    </row>
    <row r="111">
      <c r="A111" s="8" t="inlineStr">
        <is>
          <t>inv-0107</t>
        </is>
      </c>
      <c r="B111" s="8" t="inlineStr">
        <is>
          <t>INV-2107</t>
        </is>
      </c>
      <c r="C111" s="8" t="inlineStr">
        <is>
          <t>Kingsway Pharmacy</t>
        </is>
      </c>
      <c r="D111" s="8" t="inlineStr">
        <is>
          <t>AUTHORISED</t>
        </is>
      </c>
      <c r="E111" s="8" t="inlineStr">
        <is>
          <t>2026-08-10</t>
        </is>
      </c>
      <c r="F111" s="8" t="inlineStr">
        <is>
          <t>2026-08-24</t>
        </is>
      </c>
      <c r="G111" s="9" t="n">
        <v>8426.209999999999</v>
      </c>
      <c r="H111" s="9" t="n">
        <v>8426.209999999999</v>
      </c>
      <c r="I111" s="9" t="n">
        <v>0</v>
      </c>
      <c r="J111" s="8" t="inlineStr">
        <is>
          <t>AUD</t>
        </is>
      </c>
      <c r="K111" s="8" t="inlineStr">
        <is>
          <t>Final — Kingsway Pharmacy</t>
        </is>
      </c>
      <c r="L111" s="8" t="inlineStr">
        <is>
          <t>Xero</t>
        </is>
      </c>
      <c r="M111" s="8" t="inlineStr">
        <is>
          <t>RES-0107</t>
        </is>
      </c>
      <c r="N111" s="8" t="inlineStr">
        <is>
          <t>Final</t>
        </is>
      </c>
      <c r="O111" s="9" t="n">
        <v>8426.209999999999</v>
      </c>
      <c r="P111" s="9" t="n">
        <v>0</v>
      </c>
    </row>
    <row r="112">
      <c r="A112" s="8" t="inlineStr">
        <is>
          <t>inv-0108</t>
        </is>
      </c>
      <c r="B112" s="8" t="inlineStr">
        <is>
          <t>INV-2108</t>
        </is>
      </c>
      <c r="C112" s="8" t="inlineStr">
        <is>
          <t>Silverfern Studios</t>
        </is>
      </c>
      <c r="D112" s="8" t="inlineStr">
        <is>
          <t>PAID</t>
        </is>
      </c>
      <c r="E112" s="8" t="inlineStr">
        <is>
          <t>2026-08-12</t>
        </is>
      </c>
      <c r="F112" s="8" t="inlineStr">
        <is>
          <t>2026-08-26</t>
        </is>
      </c>
      <c r="G112" s="9" t="n">
        <v>8419.549999999999</v>
      </c>
      <c r="H112" s="9" t="n">
        <v>0</v>
      </c>
      <c r="I112" s="9" t="n">
        <v>8419.549999999999</v>
      </c>
      <c r="J112" s="8" t="inlineStr">
        <is>
          <t>AUD</t>
        </is>
      </c>
      <c r="K112" s="8" t="inlineStr">
        <is>
          <t>Deposit — Silverfern Studios</t>
        </is>
      </c>
      <c r="L112" s="8" t="inlineStr">
        <is>
          <t>Xero</t>
        </is>
      </c>
      <c r="M112" s="9" t="n">
        <v/>
      </c>
      <c r="N112" s="8" t="inlineStr">
        <is>
          <t>Unassigned</t>
        </is>
      </c>
      <c r="O112" s="9" t="n">
        <v/>
      </c>
      <c r="P112" s="9" t="n">
        <v/>
      </c>
    </row>
    <row r="113">
      <c r="A113" s="8" t="inlineStr">
        <is>
          <t>inv-0109</t>
        </is>
      </c>
      <c r="B113" s="8" t="inlineStr">
        <is>
          <t>INV-2109</t>
        </is>
      </c>
      <c r="C113" s="8" t="inlineStr">
        <is>
          <t>Hollis Constructions</t>
        </is>
      </c>
      <c r="D113" s="8" t="inlineStr">
        <is>
          <t>AUTHORISED</t>
        </is>
      </c>
      <c r="E113" s="8" t="inlineStr">
        <is>
          <t>2026-08-14</t>
        </is>
      </c>
      <c r="F113" s="8" t="inlineStr">
        <is>
          <t>2026-08-28</t>
        </is>
      </c>
      <c r="G113" s="9" t="n">
        <v>4663.91</v>
      </c>
      <c r="H113" s="9" t="n">
        <v>4663.91</v>
      </c>
      <c r="I113" s="9" t="n">
        <v>0</v>
      </c>
      <c r="J113" s="8" t="inlineStr">
        <is>
          <t>AUD</t>
        </is>
      </c>
      <c r="K113" s="8" t="inlineStr">
        <is>
          <t>Progress claim 1 — Hollis Constructions</t>
        </is>
      </c>
      <c r="L113" s="8" t="inlineStr">
        <is>
          <t>Xero</t>
        </is>
      </c>
      <c r="M113" s="8" t="inlineStr">
        <is>
          <t>RES-0109</t>
        </is>
      </c>
      <c r="N113" s="8" t="inlineStr">
        <is>
          <t>Progress claim 1</t>
        </is>
      </c>
      <c r="O113" s="9" t="n">
        <v>4663.91</v>
      </c>
      <c r="P113" s="9" t="n">
        <v>0</v>
      </c>
    </row>
    <row r="114">
      <c r="A114" s="8" t="inlineStr">
        <is>
          <t>inv-0110</t>
        </is>
      </c>
      <c r="B114" s="8" t="inlineStr">
        <is>
          <t>INV-2110</t>
        </is>
      </c>
      <c r="C114" s="8" t="inlineStr">
        <is>
          <t>Northgate Property Group</t>
        </is>
      </c>
      <c r="D114" s="8" t="inlineStr">
        <is>
          <t>AUTHORISED</t>
        </is>
      </c>
      <c r="E114" s="8" t="inlineStr">
        <is>
          <t>2026-08-16</t>
        </is>
      </c>
      <c r="F114" s="8" t="inlineStr">
        <is>
          <t>2026-08-30</t>
        </is>
      </c>
      <c r="G114" s="9" t="n">
        <v>4469.6</v>
      </c>
      <c r="H114" s="9" t="n">
        <v>4469.6</v>
      </c>
      <c r="I114" s="9" t="n">
        <v>0</v>
      </c>
      <c r="J114" s="8" t="inlineStr">
        <is>
          <t>AUD</t>
        </is>
      </c>
      <c r="K114" s="8" t="inlineStr">
        <is>
          <t>Progress claim 2 — Northgate Property Group</t>
        </is>
      </c>
      <c r="L114" s="8" t="inlineStr">
        <is>
          <t>Xero</t>
        </is>
      </c>
      <c r="M114" s="8" t="inlineStr">
        <is>
          <t>RES-0110</t>
        </is>
      </c>
      <c r="N114" s="8" t="inlineStr">
        <is>
          <t>Progress claim 2</t>
        </is>
      </c>
      <c r="O114" s="9" t="n">
        <v>4469.6</v>
      </c>
      <c r="P114" s="9" t="n">
        <v>0</v>
      </c>
    </row>
    <row r="115">
      <c r="A115" s="8" t="inlineStr">
        <is>
          <t>inv-0111</t>
        </is>
      </c>
      <c r="B115" s="8" t="inlineStr">
        <is>
          <t>INV-2111</t>
        </is>
      </c>
      <c r="C115" s="8" t="inlineStr">
        <is>
          <t>Harbourline Logistics</t>
        </is>
      </c>
      <c r="D115" s="8" t="inlineStr">
        <is>
          <t>AUTHORISED</t>
        </is>
      </c>
      <c r="E115" s="8" t="inlineStr">
        <is>
          <t>2026-08-18</t>
        </is>
      </c>
      <c r="F115" s="8" t="inlineStr">
        <is>
          <t>2026-09-01</t>
        </is>
      </c>
      <c r="G115" s="9" t="n">
        <v>6678.77</v>
      </c>
      <c r="H115" s="9" t="n">
        <v>6678.77</v>
      </c>
      <c r="I115" s="9" t="n">
        <v>0</v>
      </c>
      <c r="J115" s="8" t="inlineStr">
        <is>
          <t>AUD</t>
        </is>
      </c>
      <c r="K115" s="8" t="inlineStr">
        <is>
          <t>Final — Harbourline Logistics</t>
        </is>
      </c>
      <c r="L115" s="8" t="inlineStr">
        <is>
          <t>Xero</t>
        </is>
      </c>
      <c r="M115" s="8" t="inlineStr">
        <is>
          <t>RES-0111</t>
        </is>
      </c>
      <c r="N115" s="8" t="inlineStr">
        <is>
          <t>Final</t>
        </is>
      </c>
      <c r="O115" s="9" t="n">
        <v>6678.77</v>
      </c>
      <c r="P115" s="9" t="n">
        <v>0</v>
      </c>
    </row>
    <row r="116">
      <c r="A116" s="8" t="inlineStr">
        <is>
          <t>inv-0112</t>
        </is>
      </c>
      <c r="B116" s="8" t="inlineStr">
        <is>
          <t>INV-2112</t>
        </is>
      </c>
      <c r="C116" s="8" t="inlineStr">
        <is>
          <t>Cedar &amp; Co Accountants</t>
        </is>
      </c>
      <c r="D116" s="8" t="inlineStr">
        <is>
          <t>AUTHORISED</t>
        </is>
      </c>
      <c r="E116" s="8" t="inlineStr">
        <is>
          <t>2026-08-20</t>
        </is>
      </c>
      <c r="F116" s="8" t="inlineStr">
        <is>
          <t>2026-09-03</t>
        </is>
      </c>
      <c r="G116" s="9" t="n">
        <v>3218.32</v>
      </c>
      <c r="H116" s="9" t="n">
        <v>3218.32</v>
      </c>
      <c r="I116" s="9" t="n">
        <v>0</v>
      </c>
      <c r="J116" s="8" t="inlineStr">
        <is>
          <t>AUD</t>
        </is>
      </c>
      <c r="K116" s="8" t="inlineStr">
        <is>
          <t>Deposit — Cedar &amp; Co Accountants</t>
        </is>
      </c>
      <c r="L116" s="8" t="inlineStr">
        <is>
          <t>Xero</t>
        </is>
      </c>
      <c r="M116" s="8" t="inlineStr">
        <is>
          <t>RES-0112</t>
        </is>
      </c>
      <c r="N116" s="8" t="inlineStr">
        <is>
          <t>Deposit</t>
        </is>
      </c>
      <c r="O116" s="9" t="n">
        <v>3218.32</v>
      </c>
      <c r="P116" s="9" t="n">
        <v>0</v>
      </c>
    </row>
    <row r="117">
      <c r="A117" s="8" t="inlineStr">
        <is>
          <t>inv-0113</t>
        </is>
      </c>
      <c r="B117" s="8" t="inlineStr">
        <is>
          <t>INV-2113</t>
        </is>
      </c>
      <c r="C117" s="8" t="inlineStr">
        <is>
          <t>Ridgeline Electrical</t>
        </is>
      </c>
      <c r="D117" s="8" t="inlineStr">
        <is>
          <t>AUTHORISED</t>
        </is>
      </c>
      <c r="E117" s="8" t="inlineStr">
        <is>
          <t>2026-08-22</t>
        </is>
      </c>
      <c r="F117" s="8" t="inlineStr">
        <is>
          <t>2026-09-05</t>
        </is>
      </c>
      <c r="G117" s="9" t="n">
        <v>2951.59</v>
      </c>
      <c r="H117" s="9" t="n">
        <v>2951.59</v>
      </c>
      <c r="I117" s="9" t="n">
        <v>0</v>
      </c>
      <c r="J117" s="8" t="inlineStr">
        <is>
          <t>AUD</t>
        </is>
      </c>
      <c r="K117" s="8" t="inlineStr">
        <is>
          <t>Progress claim 1 — Ridgeline Electrical</t>
        </is>
      </c>
      <c r="L117" s="8" t="inlineStr">
        <is>
          <t>Xero</t>
        </is>
      </c>
      <c r="M117" s="8" t="inlineStr">
        <is>
          <t>RES-0113</t>
        </is>
      </c>
      <c r="N117" s="8" t="inlineStr">
        <is>
          <t>Progress claim 1</t>
        </is>
      </c>
      <c r="O117" s="9" t="n">
        <v>2951.59</v>
      </c>
      <c r="P117" s="9" t="n">
        <v>0</v>
      </c>
    </row>
    <row r="118">
      <c r="A118" s="8" t="inlineStr">
        <is>
          <t>inv-0114</t>
        </is>
      </c>
      <c r="B118" s="8" t="inlineStr">
        <is>
          <t>INV-2114</t>
        </is>
      </c>
      <c r="C118" s="8" t="inlineStr">
        <is>
          <t>Bluewater Dental</t>
        </is>
      </c>
      <c r="D118" s="8" t="inlineStr">
        <is>
          <t>AUTHORISED</t>
        </is>
      </c>
      <c r="E118" s="8" t="inlineStr">
        <is>
          <t>2026-08-24</t>
        </is>
      </c>
      <c r="F118" s="8" t="inlineStr">
        <is>
          <t>2026-09-07</t>
        </is>
      </c>
      <c r="G118" s="9" t="n">
        <v>5740.36</v>
      </c>
      <c r="H118" s="9" t="n">
        <v>5740.36</v>
      </c>
      <c r="I118" s="9" t="n">
        <v>0</v>
      </c>
      <c r="J118" s="8" t="inlineStr">
        <is>
          <t>AUD</t>
        </is>
      </c>
      <c r="K118" s="8" t="inlineStr">
        <is>
          <t>Progress claim 2 — Bluewater Dental</t>
        </is>
      </c>
      <c r="L118" s="8" t="inlineStr">
        <is>
          <t>Xero</t>
        </is>
      </c>
      <c r="M118" s="8" t="inlineStr">
        <is>
          <t>RES-0114</t>
        </is>
      </c>
      <c r="N118" s="8" t="inlineStr">
        <is>
          <t>Progress claim 2</t>
        </is>
      </c>
      <c r="O118" s="9" t="n">
        <v>5740.36</v>
      </c>
      <c r="P118" s="9" t="n">
        <v>0</v>
      </c>
    </row>
    <row r="119">
      <c r="A119" s="8" t="inlineStr">
        <is>
          <t>inv-0115</t>
        </is>
      </c>
      <c r="B119" s="8" t="inlineStr">
        <is>
          <t>INV-2115</t>
        </is>
      </c>
      <c r="C119" s="8" t="inlineStr">
        <is>
          <t>Meridian Fitouts</t>
        </is>
      </c>
      <c r="D119" s="8" t="inlineStr">
        <is>
          <t>PAID</t>
        </is>
      </c>
      <c r="E119" s="8" t="inlineStr">
        <is>
          <t>2026-08-26</t>
        </is>
      </c>
      <c r="F119" s="8" t="inlineStr">
        <is>
          <t>2026-09-09</t>
        </is>
      </c>
      <c r="G119" s="9" t="n">
        <v>9786.9</v>
      </c>
      <c r="H119" s="9" t="n">
        <v>0</v>
      </c>
      <c r="I119" s="9" t="n">
        <v>9786.9</v>
      </c>
      <c r="J119" s="8" t="inlineStr">
        <is>
          <t>AUD</t>
        </is>
      </c>
      <c r="K119" s="8" t="inlineStr">
        <is>
          <t>Final — Meridian Fitouts</t>
        </is>
      </c>
      <c r="L119" s="8" t="inlineStr">
        <is>
          <t>Xero</t>
        </is>
      </c>
      <c r="M119" s="9" t="n">
        <v/>
      </c>
      <c r="N119" s="8" t="inlineStr">
        <is>
          <t>Unassigned</t>
        </is>
      </c>
      <c r="O119" s="9" t="n">
        <v/>
      </c>
      <c r="P119" s="9" t="n">
        <v/>
      </c>
    </row>
    <row r="120">
      <c r="A120" s="8" t="inlineStr">
        <is>
          <t>inv-0116</t>
        </is>
      </c>
      <c r="B120" s="8" t="inlineStr">
        <is>
          <t>INV-2116</t>
        </is>
      </c>
      <c r="C120" s="8" t="inlineStr">
        <is>
          <t>Talbot Freight</t>
        </is>
      </c>
      <c r="D120" s="8" t="inlineStr">
        <is>
          <t>PAID</t>
        </is>
      </c>
      <c r="E120" s="8" t="inlineStr">
        <is>
          <t>2026-08-28</t>
        </is>
      </c>
      <c r="F120" s="8" t="inlineStr">
        <is>
          <t>2026-09-11</t>
        </is>
      </c>
      <c r="G120" s="9" t="n">
        <v>2353.19</v>
      </c>
      <c r="H120" s="9" t="n">
        <v>0</v>
      </c>
      <c r="I120" s="9" t="n">
        <v>2353.19</v>
      </c>
      <c r="J120" s="8" t="inlineStr">
        <is>
          <t>AUD</t>
        </is>
      </c>
      <c r="K120" s="8" t="inlineStr">
        <is>
          <t>Deposit — Talbot Freight</t>
        </is>
      </c>
      <c r="L120" s="8" t="inlineStr">
        <is>
          <t>Xero</t>
        </is>
      </c>
      <c r="M120" s="8" t="inlineStr">
        <is>
          <t>RES-0116</t>
        </is>
      </c>
      <c r="N120" s="8" t="inlineStr">
        <is>
          <t>Deposit</t>
        </is>
      </c>
      <c r="O120" s="9" t="n">
        <v>2353.19</v>
      </c>
      <c r="P120" s="9" t="n">
        <v>2353.19</v>
      </c>
    </row>
    <row r="121">
      <c r="A121" s="8" t="inlineStr">
        <is>
          <t>inv-0117</t>
        </is>
      </c>
      <c r="B121" s="8" t="inlineStr">
        <is>
          <t>INV-2117</t>
        </is>
      </c>
      <c r="C121" s="8" t="inlineStr">
        <is>
          <t>Kingsway Pharmacy</t>
        </is>
      </c>
      <c r="D121" s="8" t="inlineStr">
        <is>
          <t>AUTHORISED</t>
        </is>
      </c>
      <c r="E121" s="8" t="inlineStr">
        <is>
          <t>2026-08-30</t>
        </is>
      </c>
      <c r="F121" s="8" t="inlineStr">
        <is>
          <t>2026-09-13</t>
        </is>
      </c>
      <c r="G121" s="9" t="n">
        <v>7331.58</v>
      </c>
      <c r="H121" s="9" t="n">
        <v>7331.58</v>
      </c>
      <c r="I121" s="9" t="n">
        <v>0</v>
      </c>
      <c r="J121" s="8" t="inlineStr">
        <is>
          <t>AUD</t>
        </is>
      </c>
      <c r="K121" s="8" t="inlineStr">
        <is>
          <t>Progress claim 1 — Kingsway Pharmacy</t>
        </is>
      </c>
      <c r="L121" s="8" t="inlineStr">
        <is>
          <t>Xero</t>
        </is>
      </c>
      <c r="M121" s="8" t="inlineStr">
        <is>
          <t>RES-0117</t>
        </is>
      </c>
      <c r="N121" s="8" t="inlineStr">
        <is>
          <t>Progress claim 1</t>
        </is>
      </c>
      <c r="O121" s="9" t="n">
        <v>7331.58</v>
      </c>
      <c r="P121" s="9" t="n">
        <v>0</v>
      </c>
    </row>
    <row r="122">
      <c r="A122" s="8" t="inlineStr">
        <is>
          <t>inv-0118</t>
        </is>
      </c>
      <c r="B122" s="8" t="inlineStr">
        <is>
          <t>INV-2118</t>
        </is>
      </c>
      <c r="C122" s="8" t="inlineStr">
        <is>
          <t>Silverfern Studios</t>
        </is>
      </c>
      <c r="D122" s="8" t="inlineStr">
        <is>
          <t>PAID</t>
        </is>
      </c>
      <c r="E122" s="8" t="inlineStr">
        <is>
          <t>2026-09-01</t>
        </is>
      </c>
      <c r="F122" s="8" t="inlineStr">
        <is>
          <t>2026-09-15</t>
        </is>
      </c>
      <c r="G122" s="9" t="n">
        <v>1450.28</v>
      </c>
      <c r="H122" s="9" t="n">
        <v>0</v>
      </c>
      <c r="I122" s="9" t="n">
        <v>1450.28</v>
      </c>
      <c r="J122" s="8" t="inlineStr">
        <is>
          <t>AUD</t>
        </is>
      </c>
      <c r="K122" s="8" t="inlineStr">
        <is>
          <t>Progress claim 2 — Silverfern Studios</t>
        </is>
      </c>
      <c r="L122" s="8" t="inlineStr">
        <is>
          <t>Xero</t>
        </is>
      </c>
      <c r="M122" s="8" t="inlineStr">
        <is>
          <t>RES-0118</t>
        </is>
      </c>
      <c r="N122" s="8" t="inlineStr">
        <is>
          <t>Progress claim 2</t>
        </is>
      </c>
      <c r="O122" s="9" t="n">
        <v>1450.28</v>
      </c>
      <c r="P122" s="9" t="n">
        <v>1450.28</v>
      </c>
    </row>
    <row r="123">
      <c r="A123" s="8" t="inlineStr">
        <is>
          <t>inv-0119</t>
        </is>
      </c>
      <c r="B123" s="8" t="inlineStr">
        <is>
          <t>INV-2119</t>
        </is>
      </c>
      <c r="C123" s="8" t="inlineStr">
        <is>
          <t>Hollis Constructions</t>
        </is>
      </c>
      <c r="D123" s="8" t="inlineStr">
        <is>
          <t>PAID</t>
        </is>
      </c>
      <c r="E123" s="8" t="inlineStr">
        <is>
          <t>2026-09-03</t>
        </is>
      </c>
      <c r="F123" s="8" t="inlineStr">
        <is>
          <t>2026-09-17</t>
        </is>
      </c>
      <c r="G123" s="9" t="n">
        <v>8062.27</v>
      </c>
      <c r="H123" s="9" t="n">
        <v>0</v>
      </c>
      <c r="I123" s="9" t="n">
        <v>8062.27</v>
      </c>
      <c r="J123" s="8" t="inlineStr">
        <is>
          <t>AUD</t>
        </is>
      </c>
      <c r="K123" s="8" t="inlineStr">
        <is>
          <t>Final — Hollis Constructions</t>
        </is>
      </c>
      <c r="L123" s="8" t="inlineStr">
        <is>
          <t>Xero</t>
        </is>
      </c>
      <c r="M123" s="8" t="inlineStr">
        <is>
          <t>RES-0119</t>
        </is>
      </c>
      <c r="N123" s="8" t="inlineStr">
        <is>
          <t>Final</t>
        </is>
      </c>
      <c r="O123" s="9" t="n">
        <v>8062.27</v>
      </c>
      <c r="P123" s="9" t="n">
        <v>8062.27</v>
      </c>
    </row>
    <row r="124">
      <c r="A124" s="8" t="inlineStr">
        <is>
          <t>inv-0120</t>
        </is>
      </c>
      <c r="B124" s="8" t="inlineStr">
        <is>
          <t>INV-2120</t>
        </is>
      </c>
      <c r="C124" s="8" t="inlineStr">
        <is>
          <t>Northgate Property Group</t>
        </is>
      </c>
      <c r="D124" s="8" t="inlineStr">
        <is>
          <t>AUTHORISED</t>
        </is>
      </c>
      <c r="E124" s="8" t="inlineStr">
        <is>
          <t>2026-09-05</t>
        </is>
      </c>
      <c r="F124" s="8" t="inlineStr">
        <is>
          <t>2026-09-19</t>
        </is>
      </c>
      <c r="G124" s="9" t="n">
        <v>5709.1</v>
      </c>
      <c r="H124" s="9" t="n">
        <v>5709.1</v>
      </c>
      <c r="I124" s="9" t="n">
        <v>0</v>
      </c>
      <c r="J124" s="8" t="inlineStr">
        <is>
          <t>AUD</t>
        </is>
      </c>
      <c r="K124" s="8" t="inlineStr">
        <is>
          <t>Deposit — Northgate Property Group</t>
        </is>
      </c>
      <c r="L124" s="8" t="inlineStr">
        <is>
          <t>Xero</t>
        </is>
      </c>
      <c r="M124" s="8" t="inlineStr">
        <is>
          <t>RES-0120</t>
        </is>
      </c>
      <c r="N124" s="8" t="inlineStr">
        <is>
          <t>Deposit</t>
        </is>
      </c>
      <c r="O124" s="9" t="n">
        <v>5709.1</v>
      </c>
      <c r="P124" s="9" t="n">
        <v>0</v>
      </c>
    </row>
    <row r="125">
      <c r="A125" s="8" t="inlineStr">
        <is>
          <t>inv-0121</t>
        </is>
      </c>
      <c r="B125" s="8" t="inlineStr">
        <is>
          <t>INV-2121</t>
        </is>
      </c>
      <c r="C125" s="8" t="inlineStr">
        <is>
          <t>Harbourline Logistics</t>
        </is>
      </c>
      <c r="D125" s="8" t="inlineStr">
        <is>
          <t>PAID</t>
        </is>
      </c>
      <c r="E125" s="8" t="inlineStr">
        <is>
          <t>2026-09-07</t>
        </is>
      </c>
      <c r="F125" s="8" t="inlineStr">
        <is>
          <t>2026-09-21</t>
        </is>
      </c>
      <c r="G125" s="9" t="n">
        <v>8419.74</v>
      </c>
      <c r="H125" s="9" t="n">
        <v>0</v>
      </c>
      <c r="I125" s="9" t="n">
        <v>8419.74</v>
      </c>
      <c r="J125" s="8" t="inlineStr">
        <is>
          <t>AUD</t>
        </is>
      </c>
      <c r="K125" s="8" t="inlineStr">
        <is>
          <t>Progress claim 1 — Harbourline Logistics</t>
        </is>
      </c>
      <c r="L125" s="8" t="inlineStr">
        <is>
          <t>Xero</t>
        </is>
      </c>
      <c r="M125" s="8" t="inlineStr">
        <is>
          <t>RES-0121</t>
        </is>
      </c>
      <c r="N125" s="8" t="inlineStr">
        <is>
          <t>Progress claim 1</t>
        </is>
      </c>
      <c r="O125" s="9" t="n">
        <v>8419.74</v>
      </c>
      <c r="P125" s="9" t="n">
        <v>8419.74</v>
      </c>
    </row>
    <row r="126">
      <c r="A126" s="8" t="inlineStr">
        <is>
          <t>inv-0122</t>
        </is>
      </c>
      <c r="B126" s="8" t="inlineStr">
        <is>
          <t>INV-2122</t>
        </is>
      </c>
      <c r="C126" s="8" t="inlineStr">
        <is>
          <t>Cedar &amp; Co Accountants</t>
        </is>
      </c>
      <c r="D126" s="8" t="inlineStr">
        <is>
          <t>AUTHORISED</t>
        </is>
      </c>
      <c r="E126" s="8" t="inlineStr">
        <is>
          <t>2026-09-09</t>
        </is>
      </c>
      <c r="F126" s="8" t="inlineStr">
        <is>
          <t>2026-09-23</t>
        </is>
      </c>
      <c r="G126" s="9" t="n">
        <v>7124.85</v>
      </c>
      <c r="H126" s="9" t="n">
        <v>7124.85</v>
      </c>
      <c r="I126" s="9" t="n">
        <v>0</v>
      </c>
      <c r="J126" s="8" t="inlineStr">
        <is>
          <t>AUD</t>
        </is>
      </c>
      <c r="K126" s="8" t="inlineStr">
        <is>
          <t>Progress claim 2 — Cedar &amp; Co Accountants</t>
        </is>
      </c>
      <c r="L126" s="8" t="inlineStr">
        <is>
          <t>Xero</t>
        </is>
      </c>
      <c r="M126" s="9" t="n">
        <v/>
      </c>
      <c r="N126" s="8" t="inlineStr">
        <is>
          <t>Unassigned</t>
        </is>
      </c>
      <c r="O126" s="9" t="n">
        <v/>
      </c>
      <c r="P126" s="9" t="n">
        <v/>
      </c>
    </row>
    <row r="127">
      <c r="A127" s="8" t="inlineStr">
        <is>
          <t>inv-0123</t>
        </is>
      </c>
      <c r="B127" s="8" t="inlineStr">
        <is>
          <t>INV-2123</t>
        </is>
      </c>
      <c r="C127" s="8" t="inlineStr">
        <is>
          <t>Ridgeline Electrical</t>
        </is>
      </c>
      <c r="D127" s="8" t="inlineStr">
        <is>
          <t>PAID</t>
        </is>
      </c>
      <c r="E127" s="8" t="inlineStr">
        <is>
          <t>2026-09-11</t>
        </is>
      </c>
      <c r="F127" s="8" t="inlineStr">
        <is>
          <t>2026-09-25</t>
        </is>
      </c>
      <c r="G127" s="9" t="n">
        <v>4128.96</v>
      </c>
      <c r="H127" s="9" t="n">
        <v>0</v>
      </c>
      <c r="I127" s="9" t="n">
        <v>4128.96</v>
      </c>
      <c r="J127" s="8" t="inlineStr">
        <is>
          <t>AUD</t>
        </is>
      </c>
      <c r="K127" s="8" t="inlineStr">
        <is>
          <t>Final — Ridgeline Electrical</t>
        </is>
      </c>
      <c r="L127" s="8" t="inlineStr">
        <is>
          <t>Xero</t>
        </is>
      </c>
      <c r="M127" s="8" t="inlineStr">
        <is>
          <t>RES-0123</t>
        </is>
      </c>
      <c r="N127" s="8" t="inlineStr">
        <is>
          <t>Final</t>
        </is>
      </c>
      <c r="O127" s="9" t="n">
        <v>4128.96</v>
      </c>
      <c r="P127" s="9" t="n">
        <v>4128.96</v>
      </c>
    </row>
    <row r="128">
      <c r="A128" s="8" t="inlineStr">
        <is>
          <t>inv-0124</t>
        </is>
      </c>
      <c r="B128" s="8" t="inlineStr">
        <is>
          <t>INV-2124</t>
        </is>
      </c>
      <c r="C128" s="8" t="inlineStr">
        <is>
          <t>Bluewater Dental</t>
        </is>
      </c>
      <c r="D128" s="8" t="inlineStr">
        <is>
          <t>SUBMITTED</t>
        </is>
      </c>
      <c r="E128" s="8" t="inlineStr">
        <is>
          <t>2026-09-13</t>
        </is>
      </c>
      <c r="F128" s="8" t="inlineStr">
        <is>
          <t>2026-09-27</t>
        </is>
      </c>
      <c r="G128" s="9" t="n">
        <v>9480.530000000001</v>
      </c>
      <c r="H128" s="9" t="n">
        <v>9480.530000000001</v>
      </c>
      <c r="I128" s="9" t="n">
        <v>0</v>
      </c>
      <c r="J128" s="8" t="inlineStr">
        <is>
          <t>AUD</t>
        </is>
      </c>
      <c r="K128" s="8" t="inlineStr">
        <is>
          <t>Deposit — Bluewater Dental</t>
        </is>
      </c>
      <c r="L128" s="8" t="inlineStr">
        <is>
          <t>Xero</t>
        </is>
      </c>
      <c r="M128" s="8" t="inlineStr">
        <is>
          <t>RES-0124</t>
        </is>
      </c>
      <c r="N128" s="8" t="inlineStr">
        <is>
          <t>Deposit</t>
        </is>
      </c>
      <c r="O128" s="9" t="n">
        <v>9480.530000000001</v>
      </c>
      <c r="P128" s="9" t="n">
        <v>0</v>
      </c>
    </row>
    <row r="129">
      <c r="A129" s="8" t="inlineStr">
        <is>
          <t>inv-0125</t>
        </is>
      </c>
      <c r="B129" s="8" t="inlineStr">
        <is>
          <t>INV-2125</t>
        </is>
      </c>
      <c r="C129" s="8" t="inlineStr">
        <is>
          <t>Meridian Fitouts</t>
        </is>
      </c>
      <c r="D129" s="8" t="inlineStr">
        <is>
          <t>AUTHORISED</t>
        </is>
      </c>
      <c r="E129" s="8" t="inlineStr">
        <is>
          <t>2026-01-08</t>
        </is>
      </c>
      <c r="F129" s="8" t="inlineStr">
        <is>
          <t>2026-01-22</t>
        </is>
      </c>
      <c r="G129" s="9" t="n">
        <v>2896.18</v>
      </c>
      <c r="H129" s="9" t="n">
        <v>2896.18</v>
      </c>
      <c r="I129" s="9" t="n">
        <v>0</v>
      </c>
      <c r="J129" s="8" t="inlineStr">
        <is>
          <t>AUD</t>
        </is>
      </c>
      <c r="K129" s="8" t="inlineStr">
        <is>
          <t>Progress claim 1 — Meridian Fitouts</t>
        </is>
      </c>
      <c r="L129" s="8" t="inlineStr">
        <is>
          <t>Xero</t>
        </is>
      </c>
      <c r="M129" s="8" t="inlineStr">
        <is>
          <t>RES-0125</t>
        </is>
      </c>
      <c r="N129" s="8" t="inlineStr">
        <is>
          <t>Progress claim 1</t>
        </is>
      </c>
      <c r="O129" s="9" t="n">
        <v>2896.18</v>
      </c>
      <c r="P129" s="9" t="n">
        <v>0</v>
      </c>
    </row>
    <row r="130">
      <c r="A130" s="8" t="inlineStr">
        <is>
          <t>inv-0126</t>
        </is>
      </c>
      <c r="B130" s="8" t="inlineStr">
        <is>
          <t>INV-2126</t>
        </is>
      </c>
      <c r="C130" s="8" t="inlineStr">
        <is>
          <t>Talbot Freight</t>
        </is>
      </c>
      <c r="D130" s="8" t="inlineStr">
        <is>
          <t>AUTHORISED</t>
        </is>
      </c>
      <c r="E130" s="8" t="inlineStr">
        <is>
          <t>2026-01-10</t>
        </is>
      </c>
      <c r="F130" s="8" t="inlineStr">
        <is>
          <t>2026-01-24</t>
        </is>
      </c>
      <c r="G130" s="9" t="n">
        <v>5096.15</v>
      </c>
      <c r="H130" s="9" t="n">
        <v>5096.15</v>
      </c>
      <c r="I130" s="9" t="n">
        <v>0</v>
      </c>
      <c r="J130" s="8" t="inlineStr">
        <is>
          <t>AUD</t>
        </is>
      </c>
      <c r="K130" s="8" t="inlineStr">
        <is>
          <t>Progress claim 2 — Talbot Freight</t>
        </is>
      </c>
      <c r="L130" s="8" t="inlineStr">
        <is>
          <t>Xero</t>
        </is>
      </c>
      <c r="M130" s="8" t="inlineStr">
        <is>
          <t>RES-0126</t>
        </is>
      </c>
      <c r="N130" s="8" t="inlineStr">
        <is>
          <t>Progress claim 2</t>
        </is>
      </c>
      <c r="O130" s="9" t="n">
        <v>5096.15</v>
      </c>
      <c r="P130" s="9" t="n">
        <v>0</v>
      </c>
    </row>
    <row r="131">
      <c r="A131" s="8" t="inlineStr">
        <is>
          <t>inv-0127</t>
        </is>
      </c>
      <c r="B131" s="8" t="inlineStr">
        <is>
          <t>INV-2127</t>
        </is>
      </c>
      <c r="C131" s="8" t="inlineStr">
        <is>
          <t>Kingsway Pharmacy</t>
        </is>
      </c>
      <c r="D131" s="8" t="inlineStr">
        <is>
          <t>SUBMITTED</t>
        </is>
      </c>
      <c r="E131" s="8" t="inlineStr">
        <is>
          <t>2026-01-12</t>
        </is>
      </c>
      <c r="F131" s="8" t="inlineStr">
        <is>
          <t>2026-01-26</t>
        </is>
      </c>
      <c r="G131" s="9" t="n">
        <v>2335.25</v>
      </c>
      <c r="H131" s="9" t="n">
        <v>2335.25</v>
      </c>
      <c r="I131" s="9" t="n">
        <v>0</v>
      </c>
      <c r="J131" s="8" t="inlineStr">
        <is>
          <t>AUD</t>
        </is>
      </c>
      <c r="K131" s="8" t="inlineStr">
        <is>
          <t>Final — Kingsway Pharmacy</t>
        </is>
      </c>
      <c r="L131" s="8" t="inlineStr">
        <is>
          <t>Xero</t>
        </is>
      </c>
      <c r="M131" s="8" t="inlineStr">
        <is>
          <t>RES-0127</t>
        </is>
      </c>
      <c r="N131" s="8" t="inlineStr">
        <is>
          <t>Final</t>
        </is>
      </c>
      <c r="O131" s="9" t="n">
        <v>2335.25</v>
      </c>
      <c r="P131" s="9" t="n">
        <v>0</v>
      </c>
    </row>
    <row r="132">
      <c r="A132" s="8" t="inlineStr">
        <is>
          <t>inv-0128</t>
        </is>
      </c>
      <c r="B132" s="8" t="inlineStr">
        <is>
          <t>INV-2128</t>
        </is>
      </c>
      <c r="C132" s="8" t="inlineStr">
        <is>
          <t>Silverfern Studios</t>
        </is>
      </c>
      <c r="D132" s="8" t="inlineStr">
        <is>
          <t>PAID</t>
        </is>
      </c>
      <c r="E132" s="8" t="inlineStr">
        <is>
          <t>2026-01-14</t>
        </is>
      </c>
      <c r="F132" s="8" t="inlineStr">
        <is>
          <t>2026-01-28</t>
        </is>
      </c>
      <c r="G132" s="9" t="n">
        <v>9609.110000000001</v>
      </c>
      <c r="H132" s="9" t="n">
        <v>0</v>
      </c>
      <c r="I132" s="9" t="n">
        <v>9609.110000000001</v>
      </c>
      <c r="J132" s="8" t="inlineStr">
        <is>
          <t>AUD</t>
        </is>
      </c>
      <c r="K132" s="8" t="inlineStr">
        <is>
          <t>Deposit — Silverfern Studios</t>
        </is>
      </c>
      <c r="L132" s="8" t="inlineStr">
        <is>
          <t>Xero</t>
        </is>
      </c>
      <c r="M132" s="8" t="inlineStr">
        <is>
          <t>RES-0128</t>
        </is>
      </c>
      <c r="N132" s="8" t="inlineStr">
        <is>
          <t>Deposit</t>
        </is>
      </c>
      <c r="O132" s="9" t="n">
        <v>9609.110000000001</v>
      </c>
      <c r="P132" s="9" t="n">
        <v>9609.110000000001</v>
      </c>
    </row>
    <row r="133">
      <c r="A133" s="8" t="inlineStr">
        <is>
          <t>inv-0129</t>
        </is>
      </c>
      <c r="B133" s="8" t="inlineStr">
        <is>
          <t>INV-2129</t>
        </is>
      </c>
      <c r="C133" s="8" t="inlineStr">
        <is>
          <t>Hollis Constructions</t>
        </is>
      </c>
      <c r="D133" s="8" t="inlineStr">
        <is>
          <t>PAID</t>
        </is>
      </c>
      <c r="E133" s="8" t="inlineStr">
        <is>
          <t>2026-01-16</t>
        </is>
      </c>
      <c r="F133" s="8" t="inlineStr">
        <is>
          <t>2026-01-30</t>
        </is>
      </c>
      <c r="G133" s="9" t="n">
        <v>9066.43</v>
      </c>
      <c r="H133" s="9" t="n">
        <v>0</v>
      </c>
      <c r="I133" s="9" t="n">
        <v>9066.43</v>
      </c>
      <c r="J133" s="8" t="inlineStr">
        <is>
          <t>AUD</t>
        </is>
      </c>
      <c r="K133" s="8" t="inlineStr">
        <is>
          <t>Progress claim 1 — Hollis Constructions</t>
        </is>
      </c>
      <c r="L133" s="8" t="inlineStr">
        <is>
          <t>Xero</t>
        </is>
      </c>
      <c r="M133" s="9" t="n">
        <v/>
      </c>
      <c r="N133" s="8" t="inlineStr">
        <is>
          <t>Unassigned</t>
        </is>
      </c>
      <c r="O133" s="9" t="n">
        <v/>
      </c>
      <c r="P133" s="9" t="n">
        <v/>
      </c>
    </row>
    <row r="134">
      <c r="A134" s="8" t="inlineStr"/>
      <c r="B134" s="8" t="inlineStr">
        <is>
          <t>INV-9000</t>
        </is>
      </c>
      <c r="C134" s="8" t="inlineStr">
        <is>
          <t>Northgate Property Group</t>
        </is>
      </c>
      <c r="D134" s="8" t="inlineStr">
        <is>
          <t>NOT_INVOICED</t>
        </is>
      </c>
      <c r="E134" s="8" t="inlineStr">
        <is>
          <t>2026-09-15</t>
        </is>
      </c>
      <c r="F134" s="8" t="inlineStr"/>
      <c r="G134" s="9" t="n">
        <v>1200</v>
      </c>
      <c r="H134" s="9" t="n">
        <v>1200</v>
      </c>
      <c r="I134" s="9" t="n">
        <v>0</v>
      </c>
      <c r="J134" s="8" t="inlineStr">
        <is>
          <t>AUD</t>
        </is>
      </c>
      <c r="K134" s="8" t="inlineStr"/>
      <c r="L134" s="8" t="inlineStr">
        <is>
          <t>Excel (sin factura en Xero)</t>
        </is>
      </c>
      <c r="M134" s="8" t="inlineStr">
        <is>
          <t>RES-9000</t>
        </is>
      </c>
      <c r="N134" s="8" t="inlineStr">
        <is>
          <t>Deposit</t>
        </is>
      </c>
      <c r="O134" s="9" t="n">
        <v>1200</v>
      </c>
      <c r="P134" s="9" t="n">
        <v>0</v>
      </c>
    </row>
    <row r="135">
      <c r="A135" s="8" t="inlineStr"/>
      <c r="B135" s="8" t="inlineStr">
        <is>
          <t>INV-9001</t>
        </is>
      </c>
      <c r="C135" s="8" t="inlineStr">
        <is>
          <t>Harbourline Logistics</t>
        </is>
      </c>
      <c r="D135" s="8" t="inlineStr">
        <is>
          <t>NOT_INVOICED</t>
        </is>
      </c>
      <c r="E135" s="8" t="inlineStr">
        <is>
          <t>2026-09-15</t>
        </is>
      </c>
      <c r="F135" s="8" t="inlineStr"/>
      <c r="G135" s="9" t="n">
        <v>1450</v>
      </c>
      <c r="H135" s="9" t="n">
        <v>1450</v>
      </c>
      <c r="I135" s="9" t="n">
        <v>0</v>
      </c>
      <c r="J135" s="8" t="inlineStr">
        <is>
          <t>AUD</t>
        </is>
      </c>
      <c r="K135" s="8" t="inlineStr"/>
      <c r="L135" s="8" t="inlineStr">
        <is>
          <t>Excel (sin factura en Xero)</t>
        </is>
      </c>
      <c r="M135" s="8" t="inlineStr">
        <is>
          <t>RES-9001</t>
        </is>
      </c>
      <c r="N135" s="8" t="inlineStr">
        <is>
          <t>Deposit</t>
        </is>
      </c>
      <c r="O135" s="9" t="n">
        <v>1450</v>
      </c>
      <c r="P135" s="9" t="n">
        <v>0</v>
      </c>
    </row>
    <row r="136">
      <c r="A136" s="8" t="inlineStr"/>
      <c r="B136" s="8" t="inlineStr">
        <is>
          <t>INV-9002</t>
        </is>
      </c>
      <c r="C136" s="8" t="inlineStr">
        <is>
          <t>Cedar &amp; Co Accountants</t>
        </is>
      </c>
      <c r="D136" s="8" t="inlineStr">
        <is>
          <t>NOT_INVOICED</t>
        </is>
      </c>
      <c r="E136" s="8" t="inlineStr">
        <is>
          <t>2026-09-15</t>
        </is>
      </c>
      <c r="F136" s="8" t="inlineStr"/>
      <c r="G136" s="9" t="n">
        <v>1700</v>
      </c>
      <c r="H136" s="9" t="n">
        <v>1700</v>
      </c>
      <c r="I136" s="9" t="n">
        <v>0</v>
      </c>
      <c r="J136" s="8" t="inlineStr">
        <is>
          <t>AUD</t>
        </is>
      </c>
      <c r="K136" s="8" t="inlineStr"/>
      <c r="L136" s="8" t="inlineStr">
        <is>
          <t>Excel (sin factura en Xero)</t>
        </is>
      </c>
      <c r="M136" s="8" t="inlineStr">
        <is>
          <t>RES-9002</t>
        </is>
      </c>
      <c r="N136" s="8" t="inlineStr">
        <is>
          <t>Deposit</t>
        </is>
      </c>
      <c r="O136" s="9" t="n">
        <v>1700</v>
      </c>
      <c r="P136" s="9" t="n">
        <v>0</v>
      </c>
    </row>
    <row r="137">
      <c r="A137" s="8" t="inlineStr"/>
      <c r="B137" s="8" t="inlineStr">
        <is>
          <t>INV-9003</t>
        </is>
      </c>
      <c r="C137" s="8" t="inlineStr">
        <is>
          <t>Ridgeline Electrical</t>
        </is>
      </c>
      <c r="D137" s="8" t="inlineStr">
        <is>
          <t>NOT_INVOICED</t>
        </is>
      </c>
      <c r="E137" s="8" t="inlineStr">
        <is>
          <t>2026-09-15</t>
        </is>
      </c>
      <c r="F137" s="8" t="inlineStr"/>
      <c r="G137" s="9" t="n">
        <v>1950</v>
      </c>
      <c r="H137" s="9" t="n">
        <v>1950</v>
      </c>
      <c r="I137" s="9" t="n">
        <v>0</v>
      </c>
      <c r="J137" s="8" t="inlineStr">
        <is>
          <t>AUD</t>
        </is>
      </c>
      <c r="K137" s="8" t="inlineStr"/>
      <c r="L137" s="8" t="inlineStr">
        <is>
          <t>Excel (sin factura en Xero)</t>
        </is>
      </c>
      <c r="M137" s="8" t="inlineStr">
        <is>
          <t>RES-9003</t>
        </is>
      </c>
      <c r="N137" s="8" t="inlineStr">
        <is>
          <t>Deposit</t>
        </is>
      </c>
      <c r="O137" s="9" t="n">
        <v>1950</v>
      </c>
      <c r="P137" s="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Reconciliation against source totals (±0.5 %)</t>
        </is>
      </c>
    </row>
    <row r="3">
      <c r="A3" s="7" t="inlineStr">
        <is>
          <t>Check</t>
        </is>
      </c>
      <c r="B3" s="7" t="inlineStr">
        <is>
          <t>Dashboard</t>
        </is>
      </c>
      <c r="C3" s="7" t="inlineStr">
        <is>
          <t>Source</t>
        </is>
      </c>
      <c r="D3" s="7" t="inlineStr">
        <is>
          <t>Drift</t>
        </is>
      </c>
      <c r="E3" s="7" t="inlineStr">
        <is>
          <t>Within 0.5%</t>
        </is>
      </c>
    </row>
    <row r="4">
      <c r="A4" s="8" t="inlineStr">
        <is>
          <t>Total revenue</t>
        </is>
      </c>
      <c r="B4" s="9" t="n">
        <v>610883.28</v>
      </c>
      <c r="C4" s="9" t="n">
        <v>610883.28</v>
      </c>
      <c r="D4" s="9" t="n">
        <v>0</v>
      </c>
      <c r="E4" s="8" t="b">
        <v>1</v>
      </c>
    </row>
    <row r="5">
      <c r="A5" s="8" t="inlineStr">
        <is>
          <t>Outstanding</t>
        </is>
      </c>
      <c r="B5" s="9" t="n">
        <v>262912.96</v>
      </c>
      <c r="C5" s="9" t="n">
        <v>262912.96</v>
      </c>
      <c r="D5" s="9" t="n">
        <v>0</v>
      </c>
      <c r="E5" s="8" t="b">
        <v>1</v>
      </c>
    </row>
    <row r="6">
      <c r="A6" s="8" t="inlineStr">
        <is>
          <t>Reservations not invoiced</t>
        </is>
      </c>
      <c r="B6" s="9" t="n">
        <v>6300</v>
      </c>
      <c r="C6" s="9" t="n">
        <v>6300</v>
      </c>
      <c r="D6" s="9" t="n">
        <v>0</v>
      </c>
      <c r="E6" s="8" t="b">
        <v>1</v>
      </c>
    </row>
    <row r="7">
      <c r="A7" s="8" t="inlineStr">
        <is>
          <t>Rows merged</t>
        </is>
      </c>
      <c r="B7" s="9" t="n">
        <v>134</v>
      </c>
      <c r="C7" s="8" t="n">
        <v>134</v>
      </c>
      <c r="D7" s="9" t="n">
        <v>0</v>
      </c>
      <c r="E7" s="8" t="b">
        <v>1</v>
      </c>
    </row>
    <row r="8">
      <c r="A8" s="8" t="inlineStr">
        <is>
          <t>Build seconds</t>
        </is>
      </c>
      <c r="B8" s="9" t="n">
        <v>0.03</v>
      </c>
      <c r="C8" s="8" t="inlineStr"/>
      <c r="D8" s="8" t="inlineStr"/>
      <c r="E8" s="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2026-09-22T06:29:14Z</dcterms:created>
  <dcterms:modified xsi:type="dcterms:W3CDTF">2026-09-22T06:29:14Z</dcterms:modified>
</cp:coreProperties>
</file>