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Labor" sheetId="2" state="visible" r:id="rId2"/>
    <sheet name="Charges" sheetId="3" state="visible" r:id="rId3"/>
    <sheet name="Invoice" sheetId="4" state="visible" r:id="rId4"/>
    <sheet name="Payroll" sheetId="5" state="visible" r:id="rId5"/>
    <sheet name="DailySheet" sheetId="6" state="visible" r:id="rId6"/>
    <sheet name="Notes" sheetId="7" state="visible" r:id="rId7"/>
  </sheets>
  <definedNames>
    <definedName name="UpchargePct">Setup!$B$5</definedName>
    <definedName name="RoundInc">Setup!$B$6</definedName>
    <definedName name="Trucks">Setup!$A$11:$B$12</definedName>
    <definedName name="EquipRates">Setup!$A$16:$C$25</definedName>
    <definedName name="EquipNames">Setup!$A$16:$A$25</definedName>
    <definedName name="TechRates">Setup!$A$30:$D$37</definedName>
    <definedName name="TechCodes">Setup!$A$30:$A$37</definedName>
    <definedName name="ClientTable">Setup!$F$3:$I$8</definedName>
    <definedName name="ClientNames">Setup!$F$3:$F$8</definedName>
    <definedName name="CategoryList">Setup!$F$13:$F$20</definedName>
    <definedName name="_xlnm._FilterDatabase" localSheetId="1" hidden="1">'Labor'!$A$1:$I$301</definedName>
    <definedName name="_xlnm._FilterDatabase" localSheetId="2" hidden="1">'Charges'!$A$1:$N$302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ED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horizontal="center"/>
    </xf>
    <xf numFmtId="165" fontId="0" fillId="3" borderId="0" pivotButton="0" quotePrefix="0" xfId="0"/>
    <xf numFmtId="0" fontId="0" fillId="4" borderId="0" pivotButton="0" quotePrefix="0" xfId="0"/>
    <xf numFmtId="2" fontId="0" fillId="3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4" fillId="5" borderId="0" pivotButton="0" quotePrefix="0" xfId="0"/>
    <xf numFmtId="4" fontId="0" fillId="5" borderId="0" pivotButton="0" quotePrefix="0" xfId="0"/>
    <xf numFmtId="0" fontId="5" fillId="5" borderId="0" pivotButton="0" quotePrefix="0" xfId="0"/>
    <xf numFmtId="4" fontId="5" fillId="5" borderId="0" pivotButton="0" quotePrefix="0" xfId="0"/>
    <xf numFmtId="0" fontId="4" fillId="5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4" customWidth="1" min="5" max="5"/>
    <col width="30" customWidth="1" min="6" max="6"/>
    <col width="24" customWidth="1" min="7" max="7"/>
    <col width="30" customWidth="1" min="8" max="8"/>
    <col width="14" customWidth="1" min="9" max="9"/>
  </cols>
  <sheetData>
    <row r="1">
      <c r="A1" s="1" t="inlineStr">
        <is>
          <t>Setup — tarifas, técnicos y clientes</t>
        </is>
      </c>
      <c r="F1" s="1" t="inlineStr">
        <is>
          <t>Clientes</t>
        </is>
      </c>
    </row>
    <row r="2">
      <c r="A2" s="2" t="inlineStr">
        <is>
          <t>Las celdas en crema son de entrada; las azules se calculan solas.</t>
        </is>
      </c>
      <c r="F2" s="3" t="inlineStr">
        <is>
          <t>Cliente</t>
        </is>
      </c>
      <c r="G2" s="3" t="inlineStr">
        <is>
          <t>Dirección</t>
        </is>
      </c>
      <c r="H2" s="3" t="inlineStr">
        <is>
          <t>Job / Descripción</t>
        </is>
      </c>
      <c r="I2" s="3" t="inlineStr">
        <is>
          <t>Términos</t>
        </is>
      </c>
    </row>
    <row r="3">
      <c r="F3" s="4" t="inlineStr">
        <is>
          <t>Northgate Property Group</t>
        </is>
      </c>
      <c r="G3" s="4" t="inlineStr">
        <is>
          <t>1420 W Main St, Springfield IL</t>
        </is>
      </c>
      <c r="H3" s="4" t="inlineStr">
        <is>
          <t>Time &amp; materials service calls</t>
        </is>
      </c>
      <c r="I3" s="4" t="inlineStr">
        <is>
          <t>Net 15</t>
        </is>
      </c>
    </row>
    <row r="4">
      <c r="A4" s="1" t="inlineStr">
        <is>
          <t>Parámetros</t>
        </is>
      </c>
      <c r="F4" s="4" t="inlineStr"/>
      <c r="G4" s="4" t="inlineStr"/>
      <c r="H4" s="4" t="inlineStr"/>
      <c r="I4" s="4" t="inlineStr"/>
    </row>
    <row r="5">
      <c r="A5" t="inlineStr">
        <is>
          <t>Recargo sobre gastos (%)</t>
        </is>
      </c>
      <c r="B5" s="5" t="n">
        <v>0.15</v>
      </c>
      <c r="F5" s="4" t="inlineStr"/>
      <c r="G5" s="4" t="inlineStr"/>
      <c r="H5" s="4" t="inlineStr"/>
      <c r="I5" s="4" t="inlineStr"/>
    </row>
    <row r="6">
      <c r="A6" t="inlineStr">
        <is>
          <t>Incremento de redondeo (todo hacia arriba)</t>
        </is>
      </c>
      <c r="B6" s="6" t="n">
        <v>0.01</v>
      </c>
      <c r="F6" s="4" t="inlineStr"/>
      <c r="G6" s="4" t="inlineStr"/>
      <c r="H6" s="4" t="inlineStr"/>
      <c r="I6" s="4" t="inlineStr"/>
    </row>
    <row r="7">
      <c r="A7" t="inlineStr">
        <is>
          <t>Nombre de la empresa</t>
        </is>
      </c>
      <c r="B7" s="4" t="inlineStr">
        <is>
          <t>Your Company LLC</t>
        </is>
      </c>
      <c r="F7" s="4" t="inlineStr"/>
      <c r="G7" s="4" t="inlineStr"/>
      <c r="H7" s="4" t="inlineStr"/>
      <c r="I7" s="4" t="inlineStr"/>
    </row>
    <row r="8">
      <c r="F8" s="4" t="inlineStr"/>
      <c r="G8" s="4" t="inlineStr"/>
      <c r="H8" s="4" t="inlineStr"/>
      <c r="I8" s="4" t="inlineStr"/>
    </row>
    <row r="9">
      <c r="A9" s="1" t="inlineStr">
        <is>
          <t>Camiones</t>
        </is>
      </c>
    </row>
    <row r="10">
      <c r="A10" s="3" t="inlineStr">
        <is>
          <t>Camión</t>
        </is>
      </c>
      <c r="B10" s="3" t="inlineStr">
        <is>
          <t>Tarifa por día</t>
        </is>
      </c>
    </row>
    <row r="11">
      <c r="A11" t="inlineStr">
        <is>
          <t>Truck 1</t>
        </is>
      </c>
      <c r="B11" s="4" t="n">
        <v>85</v>
      </c>
      <c r="C11" s="4" t="n"/>
      <c r="D11" s="4" t="n"/>
      <c r="F11" s="1" t="inlineStr">
        <is>
          <t>Categorías de cargo</t>
        </is>
      </c>
    </row>
    <row r="12">
      <c r="A12" t="inlineStr">
        <is>
          <t>Truck 2</t>
        </is>
      </c>
      <c r="B12" s="4" t="n">
        <v>45</v>
      </c>
      <c r="C12" s="4" t="n"/>
      <c r="D12" s="4" t="n"/>
      <c r="F12" s="3" t="inlineStr">
        <is>
          <t>Categoría</t>
        </is>
      </c>
      <c r="G12" s="3" t="inlineStr">
        <is>
          <t>Recargo 15%</t>
        </is>
      </c>
    </row>
    <row r="13">
      <c r="F13" s="4" t="inlineStr">
        <is>
          <t>Truck 1</t>
        </is>
      </c>
      <c r="G13" s="7" t="inlineStr">
        <is>
          <t>No</t>
        </is>
      </c>
    </row>
    <row r="14">
      <c r="A14" s="1" t="inlineStr">
        <is>
          <t>Catálogo de equipos</t>
        </is>
      </c>
      <c r="F14" s="4" t="inlineStr">
        <is>
          <t>Truck 2</t>
        </is>
      </c>
      <c r="G14" s="7" t="inlineStr">
        <is>
          <t>No</t>
        </is>
      </c>
    </row>
    <row r="15">
      <c r="A15" s="3" t="inlineStr">
        <is>
          <t>Equipo</t>
        </is>
      </c>
      <c r="B15" s="3" t="inlineStr">
        <is>
          <t>Tarifa día completo</t>
        </is>
      </c>
      <c r="C15" s="3" t="inlineStr">
        <is>
          <t>Tarifa medio día</t>
        </is>
      </c>
      <c r="F15" s="4" t="inlineStr">
        <is>
          <t>Trip charge</t>
        </is>
      </c>
      <c r="G15" s="7" t="inlineStr">
        <is>
          <t>No</t>
        </is>
      </c>
    </row>
    <row r="16">
      <c r="A16" t="inlineStr">
        <is>
          <t>Dump trailer</t>
        </is>
      </c>
      <c r="B16" s="6" t="n">
        <v>150</v>
      </c>
      <c r="C16" s="6" t="n">
        <v>90</v>
      </c>
      <c r="D16" s="4" t="n"/>
      <c r="F16" s="4" t="inlineStr">
        <is>
          <t>Equipment</t>
        </is>
      </c>
      <c r="G16" s="7" t="inlineStr">
        <is>
          <t>No</t>
        </is>
      </c>
    </row>
    <row r="17">
      <c r="A17" t="inlineStr">
        <is>
          <t>Utility trailer</t>
        </is>
      </c>
      <c r="B17" s="6" t="n">
        <v>60</v>
      </c>
      <c r="C17" s="6" t="n">
        <v>35</v>
      </c>
      <c r="D17" s="4" t="n"/>
      <c r="F17" s="4" t="inlineStr">
        <is>
          <t>Truck stock</t>
        </is>
      </c>
      <c r="G17" s="7" t="inlineStr">
        <is>
          <t>Yes</t>
        </is>
      </c>
    </row>
    <row r="18">
      <c r="A18" t="inlineStr">
        <is>
          <t>Tractor</t>
        </is>
      </c>
      <c r="B18" s="6" t="n">
        <v>250</v>
      </c>
      <c r="C18" s="6" t="n">
        <v>150</v>
      </c>
      <c r="D18" s="4" t="n"/>
      <c r="F18" s="4" t="inlineStr">
        <is>
          <t>Purchase</t>
        </is>
      </c>
      <c r="G18" s="7" t="inlineStr">
        <is>
          <t>Yes</t>
        </is>
      </c>
    </row>
    <row r="19">
      <c r="A19" t="inlineStr">
        <is>
          <t>Tractor implement</t>
        </is>
      </c>
      <c r="B19" s="6" t="n">
        <v>75</v>
      </c>
      <c r="C19" s="6" t="n">
        <v>40</v>
      </c>
      <c r="D19" s="4" t="n"/>
      <c r="F19" s="4" t="inlineStr">
        <is>
          <t>Tech expense</t>
        </is>
      </c>
      <c r="G19" s="7" t="inlineStr">
        <is>
          <t>Yes</t>
        </is>
      </c>
    </row>
    <row r="20">
      <c r="A20" t="inlineStr">
        <is>
          <t>Mini excavator</t>
        </is>
      </c>
      <c r="B20" s="6" t="n">
        <v>400</v>
      </c>
      <c r="C20" s="6" t="n">
        <v>250</v>
      </c>
      <c r="D20" s="4" t="n"/>
      <c r="F20" s="4" t="inlineStr">
        <is>
          <t>Other</t>
        </is>
      </c>
      <c r="G20" s="7" t="inlineStr">
        <is>
          <t>Yes</t>
        </is>
      </c>
    </row>
    <row r="21">
      <c r="A21" t="inlineStr">
        <is>
          <t>Compressor</t>
        </is>
      </c>
      <c r="B21" s="6" t="n">
        <v>60</v>
      </c>
      <c r="C21" s="6" t="n">
        <v>35</v>
      </c>
      <c r="D21" s="4" t="n"/>
    </row>
    <row r="22">
      <c r="A22" t="inlineStr">
        <is>
          <t>Generator</t>
        </is>
      </c>
      <c r="B22" s="6" t="n">
        <v>55</v>
      </c>
      <c r="C22" s="6" t="n">
        <v>30</v>
      </c>
      <c r="D22" s="4" t="n"/>
    </row>
    <row r="23">
      <c r="A23" t="inlineStr"/>
      <c r="B23" s="6" t="n"/>
      <c r="C23" s="6" t="n"/>
      <c r="D23" s="4" t="n"/>
    </row>
    <row r="24">
      <c r="A24" t="inlineStr"/>
      <c r="B24" s="6" t="n"/>
      <c r="C24" s="6" t="n"/>
      <c r="D24" s="4" t="n"/>
    </row>
    <row r="25">
      <c r="A25" t="inlineStr"/>
      <c r="B25" s="6" t="n"/>
      <c r="C25" s="6" t="n"/>
      <c r="D25" s="4" t="n"/>
    </row>
    <row r="28">
      <c r="A28" s="1" t="inlineStr">
        <is>
          <t>Técnicos</t>
        </is>
      </c>
    </row>
    <row r="29">
      <c r="A29" s="3" t="inlineStr">
        <is>
          <t>Código</t>
        </is>
      </c>
      <c r="B29" s="3" t="inlineStr">
        <is>
          <t>Nombre</t>
        </is>
      </c>
      <c r="C29" s="3" t="inlineStr">
        <is>
          <t>Tarifa facturada/h</t>
        </is>
      </c>
      <c r="D29" s="3" t="inlineStr">
        <is>
          <t>Tarifa a pagar/h</t>
        </is>
      </c>
    </row>
    <row r="30">
      <c r="A30" t="inlineStr">
        <is>
          <t>Tech 1</t>
        </is>
      </c>
      <c r="B30" s="4" t="inlineStr">
        <is>
          <t>Tech 1</t>
        </is>
      </c>
      <c r="C30" s="6" t="n">
        <v>65</v>
      </c>
      <c r="D30" s="6" t="n">
        <v>35</v>
      </c>
    </row>
    <row r="31">
      <c r="A31" t="inlineStr">
        <is>
          <t>Tech 2</t>
        </is>
      </c>
      <c r="B31" s="4" t="inlineStr">
        <is>
          <t>Tech 2</t>
        </is>
      </c>
      <c r="C31" s="6" t="n">
        <v>55</v>
      </c>
      <c r="D31" s="6" t="n">
        <v>30</v>
      </c>
    </row>
    <row r="32">
      <c r="A32" t="inlineStr">
        <is>
          <t>Tech 3</t>
        </is>
      </c>
      <c r="B32" s="4" t="inlineStr">
        <is>
          <t>Tech 3</t>
        </is>
      </c>
      <c r="C32" s="6" t="n">
        <v>48</v>
      </c>
      <c r="D32" s="6" t="n">
        <v>26</v>
      </c>
    </row>
    <row r="33">
      <c r="A33" t="inlineStr">
        <is>
          <t>Tech 4</t>
        </is>
      </c>
      <c r="B33" s="4" t="inlineStr">
        <is>
          <t>Tech 4</t>
        </is>
      </c>
      <c r="C33" s="6" t="n">
        <v>42</v>
      </c>
      <c r="D33" s="6" t="n">
        <v>22</v>
      </c>
    </row>
    <row r="34">
      <c r="A34" t="inlineStr">
        <is>
          <t>Tech 5</t>
        </is>
      </c>
      <c r="B34" s="4" t="inlineStr">
        <is>
          <t>Tech 5</t>
        </is>
      </c>
      <c r="C34" s="6" t="n">
        <v>38</v>
      </c>
      <c r="D34" s="6" t="n">
        <v>20</v>
      </c>
    </row>
    <row r="35">
      <c r="A35" t="inlineStr">
        <is>
          <t>Tech 6</t>
        </is>
      </c>
      <c r="B35" s="4" t="inlineStr">
        <is>
          <t>Tech 6</t>
        </is>
      </c>
      <c r="C35" s="6" t="n">
        <v>35</v>
      </c>
      <c r="D35" s="6" t="n">
        <v>18</v>
      </c>
    </row>
    <row r="36">
      <c r="A36" t="inlineStr">
        <is>
          <t>Tech 7</t>
        </is>
      </c>
      <c r="B36" s="4" t="inlineStr">
        <is>
          <t>Tech 7</t>
        </is>
      </c>
      <c r="C36" s="6" t="n">
        <v>0</v>
      </c>
      <c r="D36" s="6" t="n">
        <v>0</v>
      </c>
    </row>
    <row r="37">
      <c r="A37" t="inlineStr">
        <is>
          <t>Tech 8</t>
        </is>
      </c>
      <c r="B37" s="4" t="inlineStr">
        <is>
          <t>Tech 8</t>
        </is>
      </c>
      <c r="C37" s="6" t="n">
        <v>0</v>
      </c>
      <c r="D3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8" customWidth="1" min="4" max="4"/>
    <col width="13" customWidth="1" min="5" max="5"/>
    <col width="13" customWidth="1" min="6" max="6"/>
    <col width="26" customWidth="1" min="7" max="7"/>
    <col width="9" customWidth="1" min="8" max="8"/>
    <col width="18" customWidth="1" min="9" max="9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Tech</t>
        </is>
      </c>
      <c r="D1" s="3" t="inlineStr">
        <is>
          <t>Hours</t>
        </is>
      </c>
      <c r="E1" s="3" t="inlineStr">
        <is>
          <t>Billed rate</t>
        </is>
      </c>
      <c r="F1" s="3" t="inlineStr">
        <is>
          <t>Labor total</t>
        </is>
      </c>
      <c r="G1" s="3" t="inlineStr">
        <is>
          <t>Note</t>
        </is>
      </c>
      <c r="H1" s="3" t="inlineStr">
        <is>
          <t>DaySeq</t>
        </is>
      </c>
      <c r="I1" s="3" t="inlineStr">
        <is>
          <t>LookupKey</t>
        </is>
      </c>
    </row>
    <row r="2">
      <c r="A2" s="8" t="n"/>
      <c r="B2" s="9">
        <f>IF($A2="","",TEXT($A2,"ddd"))</f>
        <v/>
      </c>
      <c r="C2" s="4" t="n"/>
      <c r="D2" s="10" t="n"/>
      <c r="E2" s="11">
        <f>IF($C2="","",IFERROR(VLOOKUP($C2,TechRates,3,FALSE),0))</f>
        <v/>
      </c>
      <c r="F2" s="11">
        <f>IF(OR($A2="",$D2=""),"",CEILING($D2*$E2,RoundInc))</f>
        <v/>
      </c>
      <c r="G2" s="4" t="n"/>
      <c r="H2" s="9">
        <f>IF($A2="","",COUNTIF($A$2:$A2,$A2))</f>
        <v/>
      </c>
      <c r="I2" s="9">
        <f>IF($A2="","",TEXT($A2,"yyyy-mm-dd")&amp;"#"&amp;$H2)</f>
        <v/>
      </c>
    </row>
    <row r="3">
      <c r="A3" s="8" t="n"/>
      <c r="B3" s="9">
        <f>IF($A3="","",TEXT($A3,"ddd"))</f>
        <v/>
      </c>
      <c r="C3" s="4" t="n"/>
      <c r="D3" s="10" t="n"/>
      <c r="E3" s="11">
        <f>IF($C3="","",IFERROR(VLOOKUP($C3,TechRates,3,FALSE),0))</f>
        <v/>
      </c>
      <c r="F3" s="11">
        <f>IF(OR($A3="",$D3=""),"",CEILING($D3*$E3,RoundInc))</f>
        <v/>
      </c>
      <c r="G3" s="4" t="n"/>
      <c r="H3" s="9">
        <f>IF($A3="","",COUNTIF($A$2:$A3,$A3))</f>
        <v/>
      </c>
      <c r="I3" s="9">
        <f>IF($A3="","",TEXT($A3,"yyyy-mm-dd")&amp;"#"&amp;$H3)</f>
        <v/>
      </c>
    </row>
    <row r="4">
      <c r="A4" s="8" t="n"/>
      <c r="B4" s="9">
        <f>IF($A4="","",TEXT($A4,"ddd"))</f>
        <v/>
      </c>
      <c r="C4" s="4" t="n"/>
      <c r="D4" s="10" t="n"/>
      <c r="E4" s="11">
        <f>IF($C4="","",IFERROR(VLOOKUP($C4,TechRates,3,FALSE),0))</f>
        <v/>
      </c>
      <c r="F4" s="11">
        <f>IF(OR($A4="",$D4=""),"",CEILING($D4*$E4,RoundInc))</f>
        <v/>
      </c>
      <c r="G4" s="4" t="n"/>
      <c r="H4" s="9">
        <f>IF($A4="","",COUNTIF($A$2:$A4,$A4))</f>
        <v/>
      </c>
      <c r="I4" s="9">
        <f>IF($A4="","",TEXT($A4,"yyyy-mm-dd")&amp;"#"&amp;$H4)</f>
        <v/>
      </c>
    </row>
    <row r="5">
      <c r="A5" s="8" t="n"/>
      <c r="B5" s="9">
        <f>IF($A5="","",TEXT($A5,"ddd"))</f>
        <v/>
      </c>
      <c r="C5" s="4" t="n"/>
      <c r="D5" s="10" t="n"/>
      <c r="E5" s="11">
        <f>IF($C5="","",IFERROR(VLOOKUP($C5,TechRates,3,FALSE),0))</f>
        <v/>
      </c>
      <c r="F5" s="11">
        <f>IF(OR($A5="",$D5=""),"",CEILING($D5*$E5,RoundInc))</f>
        <v/>
      </c>
      <c r="G5" s="4" t="n"/>
      <c r="H5" s="9">
        <f>IF($A5="","",COUNTIF($A$2:$A5,$A5))</f>
        <v/>
      </c>
      <c r="I5" s="9">
        <f>IF($A5="","",TEXT($A5,"yyyy-mm-dd")&amp;"#"&amp;$H5)</f>
        <v/>
      </c>
    </row>
    <row r="6">
      <c r="A6" s="8" t="n"/>
      <c r="B6" s="9">
        <f>IF($A6="","",TEXT($A6,"ddd"))</f>
        <v/>
      </c>
      <c r="C6" s="4" t="n"/>
      <c r="D6" s="10" t="n"/>
      <c r="E6" s="11">
        <f>IF($C6="","",IFERROR(VLOOKUP($C6,TechRates,3,FALSE),0))</f>
        <v/>
      </c>
      <c r="F6" s="11">
        <f>IF(OR($A6="",$D6=""),"",CEILING($D6*$E6,RoundInc))</f>
        <v/>
      </c>
      <c r="G6" s="4" t="n"/>
      <c r="H6" s="9">
        <f>IF($A6="","",COUNTIF($A$2:$A6,$A6))</f>
        <v/>
      </c>
      <c r="I6" s="9">
        <f>IF($A6="","",TEXT($A6,"yyyy-mm-dd")&amp;"#"&amp;$H6)</f>
        <v/>
      </c>
    </row>
    <row r="7">
      <c r="A7" s="8" t="n"/>
      <c r="B7" s="9">
        <f>IF($A7="","",TEXT($A7,"ddd"))</f>
        <v/>
      </c>
      <c r="C7" s="4" t="n"/>
      <c r="D7" s="10" t="n"/>
      <c r="E7" s="11">
        <f>IF($C7="","",IFERROR(VLOOKUP($C7,TechRates,3,FALSE),0))</f>
        <v/>
      </c>
      <c r="F7" s="11">
        <f>IF(OR($A7="",$D7=""),"",CEILING($D7*$E7,RoundInc))</f>
        <v/>
      </c>
      <c r="G7" s="4" t="n"/>
      <c r="H7" s="9">
        <f>IF($A7="","",COUNTIF($A$2:$A7,$A7))</f>
        <v/>
      </c>
      <c r="I7" s="9">
        <f>IF($A7="","",TEXT($A7,"yyyy-mm-dd")&amp;"#"&amp;$H7)</f>
        <v/>
      </c>
    </row>
    <row r="8">
      <c r="A8" s="8" t="n"/>
      <c r="B8" s="9">
        <f>IF($A8="","",TEXT($A8,"ddd"))</f>
        <v/>
      </c>
      <c r="C8" s="4" t="n"/>
      <c r="D8" s="10" t="n"/>
      <c r="E8" s="11">
        <f>IF($C8="","",IFERROR(VLOOKUP($C8,TechRates,3,FALSE),0))</f>
        <v/>
      </c>
      <c r="F8" s="11">
        <f>IF(OR($A8="",$D8=""),"",CEILING($D8*$E8,RoundInc))</f>
        <v/>
      </c>
      <c r="G8" s="4" t="n"/>
      <c r="H8" s="9">
        <f>IF($A8="","",COUNTIF($A$2:$A8,$A8))</f>
        <v/>
      </c>
      <c r="I8" s="9">
        <f>IF($A8="","",TEXT($A8,"yyyy-mm-dd")&amp;"#"&amp;$H8)</f>
        <v/>
      </c>
    </row>
    <row r="9">
      <c r="A9" s="8" t="n"/>
      <c r="B9" s="9">
        <f>IF($A9="","",TEXT($A9,"ddd"))</f>
        <v/>
      </c>
      <c r="C9" s="4" t="n"/>
      <c r="D9" s="10" t="n"/>
      <c r="E9" s="11">
        <f>IF($C9="","",IFERROR(VLOOKUP($C9,TechRates,3,FALSE),0))</f>
        <v/>
      </c>
      <c r="F9" s="11">
        <f>IF(OR($A9="",$D9=""),"",CEILING($D9*$E9,RoundInc))</f>
        <v/>
      </c>
      <c r="G9" s="4" t="n"/>
      <c r="H9" s="9">
        <f>IF($A9="","",COUNTIF($A$2:$A9,$A9))</f>
        <v/>
      </c>
      <c r="I9" s="9">
        <f>IF($A9="","",TEXT($A9,"yyyy-mm-dd")&amp;"#"&amp;$H9)</f>
        <v/>
      </c>
    </row>
    <row r="10">
      <c r="A10" s="8" t="n"/>
      <c r="B10" s="9">
        <f>IF($A10="","",TEXT($A10,"ddd"))</f>
        <v/>
      </c>
      <c r="C10" s="4" t="n"/>
      <c r="D10" s="10" t="n"/>
      <c r="E10" s="11">
        <f>IF($C10="","",IFERROR(VLOOKUP($C10,TechRates,3,FALSE),0))</f>
        <v/>
      </c>
      <c r="F10" s="11">
        <f>IF(OR($A10="",$D10=""),"",CEILING($D10*$E10,RoundInc))</f>
        <v/>
      </c>
      <c r="G10" s="4" t="n"/>
      <c r="H10" s="9">
        <f>IF($A10="","",COUNTIF($A$2:$A10,$A10))</f>
        <v/>
      </c>
      <c r="I10" s="9">
        <f>IF($A10="","",TEXT($A10,"yyyy-mm-dd")&amp;"#"&amp;$H10)</f>
        <v/>
      </c>
    </row>
    <row r="11">
      <c r="A11" s="8" t="n"/>
      <c r="B11" s="9">
        <f>IF($A11="","",TEXT($A11,"ddd"))</f>
        <v/>
      </c>
      <c r="C11" s="4" t="n"/>
      <c r="D11" s="10" t="n"/>
      <c r="E11" s="11">
        <f>IF($C11="","",IFERROR(VLOOKUP($C11,TechRates,3,FALSE),0))</f>
        <v/>
      </c>
      <c r="F11" s="11">
        <f>IF(OR($A11="",$D11=""),"",CEILING($D11*$E11,RoundInc))</f>
        <v/>
      </c>
      <c r="G11" s="4" t="n"/>
      <c r="H11" s="9">
        <f>IF($A11="","",COUNTIF($A$2:$A11,$A11))</f>
        <v/>
      </c>
      <c r="I11" s="9">
        <f>IF($A11="","",TEXT($A11,"yyyy-mm-dd")&amp;"#"&amp;$H11)</f>
        <v/>
      </c>
    </row>
    <row r="12">
      <c r="A12" s="8" t="n"/>
      <c r="B12" s="9">
        <f>IF($A12="","",TEXT($A12,"ddd"))</f>
        <v/>
      </c>
      <c r="C12" s="4" t="n"/>
      <c r="D12" s="10" t="n"/>
      <c r="E12" s="11">
        <f>IF($C12="","",IFERROR(VLOOKUP($C12,TechRates,3,FALSE),0))</f>
        <v/>
      </c>
      <c r="F12" s="11">
        <f>IF(OR($A12="",$D12=""),"",CEILING($D12*$E12,RoundInc))</f>
        <v/>
      </c>
      <c r="G12" s="4" t="n"/>
      <c r="H12" s="9">
        <f>IF($A12="","",COUNTIF($A$2:$A12,$A12))</f>
        <v/>
      </c>
      <c r="I12" s="9">
        <f>IF($A12="","",TEXT($A12,"yyyy-mm-dd")&amp;"#"&amp;$H12)</f>
        <v/>
      </c>
    </row>
    <row r="13">
      <c r="A13" s="8" t="n"/>
      <c r="B13" s="9">
        <f>IF($A13="","",TEXT($A13,"ddd"))</f>
        <v/>
      </c>
      <c r="C13" s="4" t="n"/>
      <c r="D13" s="10" t="n"/>
      <c r="E13" s="11">
        <f>IF($C13="","",IFERROR(VLOOKUP($C13,TechRates,3,FALSE),0))</f>
        <v/>
      </c>
      <c r="F13" s="11">
        <f>IF(OR($A13="",$D13=""),"",CEILING($D13*$E13,RoundInc))</f>
        <v/>
      </c>
      <c r="G13" s="4" t="n"/>
      <c r="H13" s="9">
        <f>IF($A13="","",COUNTIF($A$2:$A13,$A13))</f>
        <v/>
      </c>
      <c r="I13" s="9">
        <f>IF($A13="","",TEXT($A13,"yyyy-mm-dd")&amp;"#"&amp;$H13)</f>
        <v/>
      </c>
    </row>
    <row r="14">
      <c r="A14" s="8" t="n"/>
      <c r="B14" s="9">
        <f>IF($A14="","",TEXT($A14,"ddd"))</f>
        <v/>
      </c>
      <c r="C14" s="4" t="n"/>
      <c r="D14" s="10" t="n"/>
      <c r="E14" s="11">
        <f>IF($C14="","",IFERROR(VLOOKUP($C14,TechRates,3,FALSE),0))</f>
        <v/>
      </c>
      <c r="F14" s="11">
        <f>IF(OR($A14="",$D14=""),"",CEILING($D14*$E14,RoundInc))</f>
        <v/>
      </c>
      <c r="G14" s="4" t="n"/>
      <c r="H14" s="9">
        <f>IF($A14="","",COUNTIF($A$2:$A14,$A14))</f>
        <v/>
      </c>
      <c r="I14" s="9">
        <f>IF($A14="","",TEXT($A14,"yyyy-mm-dd")&amp;"#"&amp;$H14)</f>
        <v/>
      </c>
    </row>
    <row r="15">
      <c r="A15" s="8" t="n"/>
      <c r="B15" s="9">
        <f>IF($A15="","",TEXT($A15,"ddd"))</f>
        <v/>
      </c>
      <c r="C15" s="4" t="n"/>
      <c r="D15" s="10" t="n"/>
      <c r="E15" s="11">
        <f>IF($C15="","",IFERROR(VLOOKUP($C15,TechRates,3,FALSE),0))</f>
        <v/>
      </c>
      <c r="F15" s="11">
        <f>IF(OR($A15="",$D15=""),"",CEILING($D15*$E15,RoundInc))</f>
        <v/>
      </c>
      <c r="G15" s="4" t="n"/>
      <c r="H15" s="9">
        <f>IF($A15="","",COUNTIF($A$2:$A15,$A15))</f>
        <v/>
      </c>
      <c r="I15" s="9">
        <f>IF($A15="","",TEXT($A15,"yyyy-mm-dd")&amp;"#"&amp;$H15)</f>
        <v/>
      </c>
    </row>
    <row r="16">
      <c r="A16" s="8" t="n"/>
      <c r="B16" s="9">
        <f>IF($A16="","",TEXT($A16,"ddd"))</f>
        <v/>
      </c>
      <c r="C16" s="4" t="n"/>
      <c r="D16" s="10" t="n"/>
      <c r="E16" s="11">
        <f>IF($C16="","",IFERROR(VLOOKUP($C16,TechRates,3,FALSE),0))</f>
        <v/>
      </c>
      <c r="F16" s="11">
        <f>IF(OR($A16="",$D16=""),"",CEILING($D16*$E16,RoundInc))</f>
        <v/>
      </c>
      <c r="G16" s="4" t="n"/>
      <c r="H16" s="9">
        <f>IF($A16="","",COUNTIF($A$2:$A16,$A16))</f>
        <v/>
      </c>
      <c r="I16" s="9">
        <f>IF($A16="","",TEXT($A16,"yyyy-mm-dd")&amp;"#"&amp;$H16)</f>
        <v/>
      </c>
    </row>
    <row r="17">
      <c r="A17" s="8" t="n"/>
      <c r="B17" s="9">
        <f>IF($A17="","",TEXT($A17,"ddd"))</f>
        <v/>
      </c>
      <c r="C17" s="4" t="n"/>
      <c r="D17" s="10" t="n"/>
      <c r="E17" s="11">
        <f>IF($C17="","",IFERROR(VLOOKUP($C17,TechRates,3,FALSE),0))</f>
        <v/>
      </c>
      <c r="F17" s="11">
        <f>IF(OR($A17="",$D17=""),"",CEILING($D17*$E17,RoundInc))</f>
        <v/>
      </c>
      <c r="G17" s="4" t="n"/>
      <c r="H17" s="9">
        <f>IF($A17="","",COUNTIF($A$2:$A17,$A17))</f>
        <v/>
      </c>
      <c r="I17" s="9">
        <f>IF($A17="","",TEXT($A17,"yyyy-mm-dd")&amp;"#"&amp;$H17)</f>
        <v/>
      </c>
    </row>
    <row r="18">
      <c r="A18" s="8" t="n"/>
      <c r="B18" s="9">
        <f>IF($A18="","",TEXT($A18,"ddd"))</f>
        <v/>
      </c>
      <c r="C18" s="4" t="n"/>
      <c r="D18" s="10" t="n"/>
      <c r="E18" s="11">
        <f>IF($C18="","",IFERROR(VLOOKUP($C18,TechRates,3,FALSE),0))</f>
        <v/>
      </c>
      <c r="F18" s="11">
        <f>IF(OR($A18="",$D18=""),"",CEILING($D18*$E18,RoundInc))</f>
        <v/>
      </c>
      <c r="G18" s="4" t="n"/>
      <c r="H18" s="9">
        <f>IF($A18="","",COUNTIF($A$2:$A18,$A18))</f>
        <v/>
      </c>
      <c r="I18" s="9">
        <f>IF($A18="","",TEXT($A18,"yyyy-mm-dd")&amp;"#"&amp;$H18)</f>
        <v/>
      </c>
    </row>
    <row r="19">
      <c r="A19" s="8" t="n"/>
      <c r="B19" s="9">
        <f>IF($A19="","",TEXT($A19,"ddd"))</f>
        <v/>
      </c>
      <c r="C19" s="4" t="n"/>
      <c r="D19" s="10" t="n"/>
      <c r="E19" s="11">
        <f>IF($C19="","",IFERROR(VLOOKUP($C19,TechRates,3,FALSE),0))</f>
        <v/>
      </c>
      <c r="F19" s="11">
        <f>IF(OR($A19="",$D19=""),"",CEILING($D19*$E19,RoundInc))</f>
        <v/>
      </c>
      <c r="G19" s="4" t="n"/>
      <c r="H19" s="9">
        <f>IF($A19="","",COUNTIF($A$2:$A19,$A19))</f>
        <v/>
      </c>
      <c r="I19" s="9">
        <f>IF($A19="","",TEXT($A19,"yyyy-mm-dd")&amp;"#"&amp;$H19)</f>
        <v/>
      </c>
    </row>
    <row r="20">
      <c r="A20" s="8" t="n"/>
      <c r="B20" s="9">
        <f>IF($A20="","",TEXT($A20,"ddd"))</f>
        <v/>
      </c>
      <c r="C20" s="4" t="n"/>
      <c r="D20" s="10" t="n"/>
      <c r="E20" s="11">
        <f>IF($C20="","",IFERROR(VLOOKUP($C20,TechRates,3,FALSE),0))</f>
        <v/>
      </c>
      <c r="F20" s="11">
        <f>IF(OR($A20="",$D20=""),"",CEILING($D20*$E20,RoundInc))</f>
        <v/>
      </c>
      <c r="G20" s="4" t="n"/>
      <c r="H20" s="9">
        <f>IF($A20="","",COUNTIF($A$2:$A20,$A20))</f>
        <v/>
      </c>
      <c r="I20" s="9">
        <f>IF($A20="","",TEXT($A20,"yyyy-mm-dd")&amp;"#"&amp;$H20)</f>
        <v/>
      </c>
    </row>
    <row r="21">
      <c r="A21" s="8" t="n"/>
      <c r="B21" s="9">
        <f>IF($A21="","",TEXT($A21,"ddd"))</f>
        <v/>
      </c>
      <c r="C21" s="4" t="n"/>
      <c r="D21" s="10" t="n"/>
      <c r="E21" s="11">
        <f>IF($C21="","",IFERROR(VLOOKUP($C21,TechRates,3,FALSE),0))</f>
        <v/>
      </c>
      <c r="F21" s="11">
        <f>IF(OR($A21="",$D21=""),"",CEILING($D21*$E21,RoundInc))</f>
        <v/>
      </c>
      <c r="G21" s="4" t="n"/>
      <c r="H21" s="9">
        <f>IF($A21="","",COUNTIF($A$2:$A21,$A21))</f>
        <v/>
      </c>
      <c r="I21" s="9">
        <f>IF($A21="","",TEXT($A21,"yyyy-mm-dd")&amp;"#"&amp;$H21)</f>
        <v/>
      </c>
    </row>
    <row r="22">
      <c r="A22" s="8" t="n"/>
      <c r="B22" s="9">
        <f>IF($A22="","",TEXT($A22,"ddd"))</f>
        <v/>
      </c>
      <c r="C22" s="4" t="n"/>
      <c r="D22" s="10" t="n"/>
      <c r="E22" s="11">
        <f>IF($C22="","",IFERROR(VLOOKUP($C22,TechRates,3,FALSE),0))</f>
        <v/>
      </c>
      <c r="F22" s="11">
        <f>IF(OR($A22="",$D22=""),"",CEILING($D22*$E22,RoundInc))</f>
        <v/>
      </c>
      <c r="G22" s="4" t="n"/>
      <c r="H22" s="9">
        <f>IF($A22="","",COUNTIF($A$2:$A22,$A22))</f>
        <v/>
      </c>
      <c r="I22" s="9">
        <f>IF($A22="","",TEXT($A22,"yyyy-mm-dd")&amp;"#"&amp;$H22)</f>
        <v/>
      </c>
    </row>
    <row r="23">
      <c r="A23" s="8" t="n"/>
      <c r="B23" s="9">
        <f>IF($A23="","",TEXT($A23,"ddd"))</f>
        <v/>
      </c>
      <c r="C23" s="4" t="n"/>
      <c r="D23" s="10" t="n"/>
      <c r="E23" s="11">
        <f>IF($C23="","",IFERROR(VLOOKUP($C23,TechRates,3,FALSE),0))</f>
        <v/>
      </c>
      <c r="F23" s="11">
        <f>IF(OR($A23="",$D23=""),"",CEILING($D23*$E23,RoundInc))</f>
        <v/>
      </c>
      <c r="G23" s="4" t="n"/>
      <c r="H23" s="9">
        <f>IF($A23="","",COUNTIF($A$2:$A23,$A23))</f>
        <v/>
      </c>
      <c r="I23" s="9">
        <f>IF($A23="","",TEXT($A23,"yyyy-mm-dd")&amp;"#"&amp;$H23)</f>
        <v/>
      </c>
    </row>
    <row r="24">
      <c r="A24" s="8" t="n"/>
      <c r="B24" s="9">
        <f>IF($A24="","",TEXT($A24,"ddd"))</f>
        <v/>
      </c>
      <c r="C24" s="4" t="n"/>
      <c r="D24" s="10" t="n"/>
      <c r="E24" s="11">
        <f>IF($C24="","",IFERROR(VLOOKUP($C24,TechRates,3,FALSE),0))</f>
        <v/>
      </c>
      <c r="F24" s="11">
        <f>IF(OR($A24="",$D24=""),"",CEILING($D24*$E24,RoundInc))</f>
        <v/>
      </c>
      <c r="G24" s="4" t="n"/>
      <c r="H24" s="9">
        <f>IF($A24="","",COUNTIF($A$2:$A24,$A24))</f>
        <v/>
      </c>
      <c r="I24" s="9">
        <f>IF($A24="","",TEXT($A24,"yyyy-mm-dd")&amp;"#"&amp;$H24)</f>
        <v/>
      </c>
    </row>
    <row r="25">
      <c r="A25" s="8" t="n"/>
      <c r="B25" s="9">
        <f>IF($A25="","",TEXT($A25,"ddd"))</f>
        <v/>
      </c>
      <c r="C25" s="4" t="n"/>
      <c r="D25" s="10" t="n"/>
      <c r="E25" s="11">
        <f>IF($C25="","",IFERROR(VLOOKUP($C25,TechRates,3,FALSE),0))</f>
        <v/>
      </c>
      <c r="F25" s="11">
        <f>IF(OR($A25="",$D25=""),"",CEILING($D25*$E25,RoundInc))</f>
        <v/>
      </c>
      <c r="G25" s="4" t="n"/>
      <c r="H25" s="9">
        <f>IF($A25="","",COUNTIF($A$2:$A25,$A25))</f>
        <v/>
      </c>
      <c r="I25" s="9">
        <f>IF($A25="","",TEXT($A25,"yyyy-mm-dd")&amp;"#"&amp;$H25)</f>
        <v/>
      </c>
    </row>
    <row r="26">
      <c r="A26" s="8" t="n"/>
      <c r="B26" s="9">
        <f>IF($A26="","",TEXT($A26,"ddd"))</f>
        <v/>
      </c>
      <c r="C26" s="4" t="n"/>
      <c r="D26" s="10" t="n"/>
      <c r="E26" s="11">
        <f>IF($C26="","",IFERROR(VLOOKUP($C26,TechRates,3,FALSE),0))</f>
        <v/>
      </c>
      <c r="F26" s="11">
        <f>IF(OR($A26="",$D26=""),"",CEILING($D26*$E26,RoundInc))</f>
        <v/>
      </c>
      <c r="G26" s="4" t="n"/>
      <c r="H26" s="9">
        <f>IF($A26="","",COUNTIF($A$2:$A26,$A26))</f>
        <v/>
      </c>
      <c r="I26" s="9">
        <f>IF($A26="","",TEXT($A26,"yyyy-mm-dd")&amp;"#"&amp;$H26)</f>
        <v/>
      </c>
    </row>
    <row r="27">
      <c r="A27" s="8" t="n"/>
      <c r="B27" s="9">
        <f>IF($A27="","",TEXT($A27,"ddd"))</f>
        <v/>
      </c>
      <c r="C27" s="4" t="n"/>
      <c r="D27" s="10" t="n"/>
      <c r="E27" s="11">
        <f>IF($C27="","",IFERROR(VLOOKUP($C27,TechRates,3,FALSE),0))</f>
        <v/>
      </c>
      <c r="F27" s="11">
        <f>IF(OR($A27="",$D27=""),"",CEILING($D27*$E27,RoundInc))</f>
        <v/>
      </c>
      <c r="G27" s="4" t="n"/>
      <c r="H27" s="9">
        <f>IF($A27="","",COUNTIF($A$2:$A27,$A27))</f>
        <v/>
      </c>
      <c r="I27" s="9">
        <f>IF($A27="","",TEXT($A27,"yyyy-mm-dd")&amp;"#"&amp;$H27)</f>
        <v/>
      </c>
    </row>
    <row r="28">
      <c r="A28" s="8" t="n"/>
      <c r="B28" s="9">
        <f>IF($A28="","",TEXT($A28,"ddd"))</f>
        <v/>
      </c>
      <c r="C28" s="4" t="n"/>
      <c r="D28" s="10" t="n"/>
      <c r="E28" s="11">
        <f>IF($C28="","",IFERROR(VLOOKUP($C28,TechRates,3,FALSE),0))</f>
        <v/>
      </c>
      <c r="F28" s="11">
        <f>IF(OR($A28="",$D28=""),"",CEILING($D28*$E28,RoundInc))</f>
        <v/>
      </c>
      <c r="G28" s="4" t="n"/>
      <c r="H28" s="9">
        <f>IF($A28="","",COUNTIF($A$2:$A28,$A28))</f>
        <v/>
      </c>
      <c r="I28" s="9">
        <f>IF($A28="","",TEXT($A28,"yyyy-mm-dd")&amp;"#"&amp;$H28)</f>
        <v/>
      </c>
    </row>
    <row r="29">
      <c r="A29" s="8" t="n"/>
      <c r="B29" s="9">
        <f>IF($A29="","",TEXT($A29,"ddd"))</f>
        <v/>
      </c>
      <c r="C29" s="4" t="n"/>
      <c r="D29" s="10" t="n"/>
      <c r="E29" s="11">
        <f>IF($C29="","",IFERROR(VLOOKUP($C29,TechRates,3,FALSE),0))</f>
        <v/>
      </c>
      <c r="F29" s="11">
        <f>IF(OR($A29="",$D29=""),"",CEILING($D29*$E29,RoundInc))</f>
        <v/>
      </c>
      <c r="G29" s="4" t="n"/>
      <c r="H29" s="9">
        <f>IF($A29="","",COUNTIF($A$2:$A29,$A29))</f>
        <v/>
      </c>
      <c r="I29" s="9">
        <f>IF($A29="","",TEXT($A29,"yyyy-mm-dd")&amp;"#"&amp;$H29)</f>
        <v/>
      </c>
    </row>
    <row r="30">
      <c r="A30" s="8" t="n"/>
      <c r="B30" s="9">
        <f>IF($A30="","",TEXT($A30,"ddd"))</f>
        <v/>
      </c>
      <c r="C30" s="4" t="n"/>
      <c r="D30" s="10" t="n"/>
      <c r="E30" s="11">
        <f>IF($C30="","",IFERROR(VLOOKUP($C30,TechRates,3,FALSE),0))</f>
        <v/>
      </c>
      <c r="F30" s="11">
        <f>IF(OR($A30="",$D30=""),"",CEILING($D30*$E30,RoundInc))</f>
        <v/>
      </c>
      <c r="G30" s="4" t="n"/>
      <c r="H30" s="9">
        <f>IF($A30="","",COUNTIF($A$2:$A30,$A30))</f>
        <v/>
      </c>
      <c r="I30" s="9">
        <f>IF($A30="","",TEXT($A30,"yyyy-mm-dd")&amp;"#"&amp;$H30)</f>
        <v/>
      </c>
    </row>
    <row r="31">
      <c r="A31" s="8" t="n"/>
      <c r="B31" s="9">
        <f>IF($A31="","",TEXT($A31,"ddd"))</f>
        <v/>
      </c>
      <c r="C31" s="4" t="n"/>
      <c r="D31" s="10" t="n"/>
      <c r="E31" s="11">
        <f>IF($C31="","",IFERROR(VLOOKUP($C31,TechRates,3,FALSE),0))</f>
        <v/>
      </c>
      <c r="F31" s="11">
        <f>IF(OR($A31="",$D31=""),"",CEILING($D31*$E31,RoundInc))</f>
        <v/>
      </c>
      <c r="G31" s="4" t="n"/>
      <c r="H31" s="9">
        <f>IF($A31="","",COUNTIF($A$2:$A31,$A31))</f>
        <v/>
      </c>
      <c r="I31" s="9">
        <f>IF($A31="","",TEXT($A31,"yyyy-mm-dd")&amp;"#"&amp;$H31)</f>
        <v/>
      </c>
    </row>
    <row r="32">
      <c r="A32" s="8" t="n"/>
      <c r="B32" s="9">
        <f>IF($A32="","",TEXT($A32,"ddd"))</f>
        <v/>
      </c>
      <c r="C32" s="4" t="n"/>
      <c r="D32" s="10" t="n"/>
      <c r="E32" s="11">
        <f>IF($C32="","",IFERROR(VLOOKUP($C32,TechRates,3,FALSE),0))</f>
        <v/>
      </c>
      <c r="F32" s="11">
        <f>IF(OR($A32="",$D32=""),"",CEILING($D32*$E32,RoundInc))</f>
        <v/>
      </c>
      <c r="G32" s="4" t="n"/>
      <c r="H32" s="9">
        <f>IF($A32="","",COUNTIF($A$2:$A32,$A32))</f>
        <v/>
      </c>
      <c r="I32" s="9">
        <f>IF($A32="","",TEXT($A32,"yyyy-mm-dd")&amp;"#"&amp;$H32)</f>
        <v/>
      </c>
    </row>
    <row r="33">
      <c r="A33" s="8" t="n"/>
      <c r="B33" s="9">
        <f>IF($A33="","",TEXT($A33,"ddd"))</f>
        <v/>
      </c>
      <c r="C33" s="4" t="n"/>
      <c r="D33" s="10" t="n"/>
      <c r="E33" s="11">
        <f>IF($C33="","",IFERROR(VLOOKUP($C33,TechRates,3,FALSE),0))</f>
        <v/>
      </c>
      <c r="F33" s="11">
        <f>IF(OR($A33="",$D33=""),"",CEILING($D33*$E33,RoundInc))</f>
        <v/>
      </c>
      <c r="G33" s="4" t="n"/>
      <c r="H33" s="9">
        <f>IF($A33="","",COUNTIF($A$2:$A33,$A33))</f>
        <v/>
      </c>
      <c r="I33" s="9">
        <f>IF($A33="","",TEXT($A33,"yyyy-mm-dd")&amp;"#"&amp;$H33)</f>
        <v/>
      </c>
    </row>
    <row r="34">
      <c r="A34" s="8" t="n"/>
      <c r="B34" s="9">
        <f>IF($A34="","",TEXT($A34,"ddd"))</f>
        <v/>
      </c>
      <c r="C34" s="4" t="n"/>
      <c r="D34" s="10" t="n"/>
      <c r="E34" s="11">
        <f>IF($C34="","",IFERROR(VLOOKUP($C34,TechRates,3,FALSE),0))</f>
        <v/>
      </c>
      <c r="F34" s="11">
        <f>IF(OR($A34="",$D34=""),"",CEILING($D34*$E34,RoundInc))</f>
        <v/>
      </c>
      <c r="G34" s="4" t="n"/>
      <c r="H34" s="9">
        <f>IF($A34="","",COUNTIF($A$2:$A34,$A34))</f>
        <v/>
      </c>
      <c r="I34" s="9">
        <f>IF($A34="","",TEXT($A34,"yyyy-mm-dd")&amp;"#"&amp;$H34)</f>
        <v/>
      </c>
    </row>
    <row r="35">
      <c r="A35" s="8" t="n"/>
      <c r="B35" s="9">
        <f>IF($A35="","",TEXT($A35,"ddd"))</f>
        <v/>
      </c>
      <c r="C35" s="4" t="n"/>
      <c r="D35" s="10" t="n"/>
      <c r="E35" s="11">
        <f>IF($C35="","",IFERROR(VLOOKUP($C35,TechRates,3,FALSE),0))</f>
        <v/>
      </c>
      <c r="F35" s="11">
        <f>IF(OR($A35="",$D35=""),"",CEILING($D35*$E35,RoundInc))</f>
        <v/>
      </c>
      <c r="G35" s="4" t="n"/>
      <c r="H35" s="9">
        <f>IF($A35="","",COUNTIF($A$2:$A35,$A35))</f>
        <v/>
      </c>
      <c r="I35" s="9">
        <f>IF($A35="","",TEXT($A35,"yyyy-mm-dd")&amp;"#"&amp;$H35)</f>
        <v/>
      </c>
    </row>
    <row r="36">
      <c r="A36" s="8" t="n"/>
      <c r="B36" s="9">
        <f>IF($A36="","",TEXT($A36,"ddd"))</f>
        <v/>
      </c>
      <c r="C36" s="4" t="n"/>
      <c r="D36" s="10" t="n"/>
      <c r="E36" s="11">
        <f>IF($C36="","",IFERROR(VLOOKUP($C36,TechRates,3,FALSE),0))</f>
        <v/>
      </c>
      <c r="F36" s="11">
        <f>IF(OR($A36="",$D36=""),"",CEILING($D36*$E36,RoundInc))</f>
        <v/>
      </c>
      <c r="G36" s="4" t="n"/>
      <c r="H36" s="9">
        <f>IF($A36="","",COUNTIF($A$2:$A36,$A36))</f>
        <v/>
      </c>
      <c r="I36" s="9">
        <f>IF($A36="","",TEXT($A36,"yyyy-mm-dd")&amp;"#"&amp;$H36)</f>
        <v/>
      </c>
    </row>
    <row r="37">
      <c r="A37" s="8" t="n"/>
      <c r="B37" s="9">
        <f>IF($A37="","",TEXT($A37,"ddd"))</f>
        <v/>
      </c>
      <c r="C37" s="4" t="n"/>
      <c r="D37" s="10" t="n"/>
      <c r="E37" s="11">
        <f>IF($C37="","",IFERROR(VLOOKUP($C37,TechRates,3,FALSE),0))</f>
        <v/>
      </c>
      <c r="F37" s="11">
        <f>IF(OR($A37="",$D37=""),"",CEILING($D37*$E37,RoundInc))</f>
        <v/>
      </c>
      <c r="G37" s="4" t="n"/>
      <c r="H37" s="9">
        <f>IF($A37="","",COUNTIF($A$2:$A37,$A37))</f>
        <v/>
      </c>
      <c r="I37" s="9">
        <f>IF($A37="","",TEXT($A37,"yyyy-mm-dd")&amp;"#"&amp;$H37)</f>
        <v/>
      </c>
    </row>
    <row r="38">
      <c r="A38" s="8" t="n"/>
      <c r="B38" s="9">
        <f>IF($A38="","",TEXT($A38,"ddd"))</f>
        <v/>
      </c>
      <c r="C38" s="4" t="n"/>
      <c r="D38" s="10" t="n"/>
      <c r="E38" s="11">
        <f>IF($C38="","",IFERROR(VLOOKUP($C38,TechRates,3,FALSE),0))</f>
        <v/>
      </c>
      <c r="F38" s="11">
        <f>IF(OR($A38="",$D38=""),"",CEILING($D38*$E38,RoundInc))</f>
        <v/>
      </c>
      <c r="G38" s="4" t="n"/>
      <c r="H38" s="9">
        <f>IF($A38="","",COUNTIF($A$2:$A38,$A38))</f>
        <v/>
      </c>
      <c r="I38" s="9">
        <f>IF($A38="","",TEXT($A38,"yyyy-mm-dd")&amp;"#"&amp;$H38)</f>
        <v/>
      </c>
    </row>
    <row r="39">
      <c r="A39" s="8" t="n"/>
      <c r="B39" s="9">
        <f>IF($A39="","",TEXT($A39,"ddd"))</f>
        <v/>
      </c>
      <c r="C39" s="4" t="n"/>
      <c r="D39" s="10" t="n"/>
      <c r="E39" s="11">
        <f>IF($C39="","",IFERROR(VLOOKUP($C39,TechRates,3,FALSE),0))</f>
        <v/>
      </c>
      <c r="F39" s="11">
        <f>IF(OR($A39="",$D39=""),"",CEILING($D39*$E39,RoundInc))</f>
        <v/>
      </c>
      <c r="G39" s="4" t="n"/>
      <c r="H39" s="9">
        <f>IF($A39="","",COUNTIF($A$2:$A39,$A39))</f>
        <v/>
      </c>
      <c r="I39" s="9">
        <f>IF($A39="","",TEXT($A39,"yyyy-mm-dd")&amp;"#"&amp;$H39)</f>
        <v/>
      </c>
    </row>
    <row r="40">
      <c r="A40" s="8" t="n"/>
      <c r="B40" s="9">
        <f>IF($A40="","",TEXT($A40,"ddd"))</f>
        <v/>
      </c>
      <c r="C40" s="4" t="n"/>
      <c r="D40" s="10" t="n"/>
      <c r="E40" s="11">
        <f>IF($C40="","",IFERROR(VLOOKUP($C40,TechRates,3,FALSE),0))</f>
        <v/>
      </c>
      <c r="F40" s="11">
        <f>IF(OR($A40="",$D40=""),"",CEILING($D40*$E40,RoundInc))</f>
        <v/>
      </c>
      <c r="G40" s="4" t="n"/>
      <c r="H40" s="9">
        <f>IF($A40="","",COUNTIF($A$2:$A40,$A40))</f>
        <v/>
      </c>
      <c r="I40" s="9">
        <f>IF($A40="","",TEXT($A40,"yyyy-mm-dd")&amp;"#"&amp;$H40)</f>
        <v/>
      </c>
    </row>
    <row r="41">
      <c r="A41" s="8" t="n"/>
      <c r="B41" s="9">
        <f>IF($A41="","",TEXT($A41,"ddd"))</f>
        <v/>
      </c>
      <c r="C41" s="4" t="n"/>
      <c r="D41" s="10" t="n"/>
      <c r="E41" s="11">
        <f>IF($C41="","",IFERROR(VLOOKUP($C41,TechRates,3,FALSE),0))</f>
        <v/>
      </c>
      <c r="F41" s="11">
        <f>IF(OR($A41="",$D41=""),"",CEILING($D41*$E41,RoundInc))</f>
        <v/>
      </c>
      <c r="G41" s="4" t="n"/>
      <c r="H41" s="9">
        <f>IF($A41="","",COUNTIF($A$2:$A41,$A41))</f>
        <v/>
      </c>
      <c r="I41" s="9">
        <f>IF($A41="","",TEXT($A41,"yyyy-mm-dd")&amp;"#"&amp;$H41)</f>
        <v/>
      </c>
    </row>
    <row r="42">
      <c r="A42" s="8" t="n"/>
      <c r="B42" s="9">
        <f>IF($A42="","",TEXT($A42,"ddd"))</f>
        <v/>
      </c>
      <c r="C42" s="4" t="n"/>
      <c r="D42" s="10" t="n"/>
      <c r="E42" s="11">
        <f>IF($C42="","",IFERROR(VLOOKUP($C42,TechRates,3,FALSE),0))</f>
        <v/>
      </c>
      <c r="F42" s="11">
        <f>IF(OR($A42="",$D42=""),"",CEILING($D42*$E42,RoundInc))</f>
        <v/>
      </c>
      <c r="G42" s="4" t="n"/>
      <c r="H42" s="9">
        <f>IF($A42="","",COUNTIF($A$2:$A42,$A42))</f>
        <v/>
      </c>
      <c r="I42" s="9">
        <f>IF($A42="","",TEXT($A42,"yyyy-mm-dd")&amp;"#"&amp;$H42)</f>
        <v/>
      </c>
    </row>
    <row r="43">
      <c r="A43" s="8" t="n"/>
      <c r="B43" s="9">
        <f>IF($A43="","",TEXT($A43,"ddd"))</f>
        <v/>
      </c>
      <c r="C43" s="4" t="n"/>
      <c r="D43" s="10" t="n"/>
      <c r="E43" s="11">
        <f>IF($C43="","",IFERROR(VLOOKUP($C43,TechRates,3,FALSE),0))</f>
        <v/>
      </c>
      <c r="F43" s="11">
        <f>IF(OR($A43="",$D43=""),"",CEILING($D43*$E43,RoundInc))</f>
        <v/>
      </c>
      <c r="G43" s="4" t="n"/>
      <c r="H43" s="9">
        <f>IF($A43="","",COUNTIF($A$2:$A43,$A43))</f>
        <v/>
      </c>
      <c r="I43" s="9">
        <f>IF($A43="","",TEXT($A43,"yyyy-mm-dd")&amp;"#"&amp;$H43)</f>
        <v/>
      </c>
    </row>
    <row r="44">
      <c r="A44" s="8" t="n"/>
      <c r="B44" s="9">
        <f>IF($A44="","",TEXT($A44,"ddd"))</f>
        <v/>
      </c>
      <c r="C44" s="4" t="n"/>
      <c r="D44" s="10" t="n"/>
      <c r="E44" s="11">
        <f>IF($C44="","",IFERROR(VLOOKUP($C44,TechRates,3,FALSE),0))</f>
        <v/>
      </c>
      <c r="F44" s="11">
        <f>IF(OR($A44="",$D44=""),"",CEILING($D44*$E44,RoundInc))</f>
        <v/>
      </c>
      <c r="G44" s="4" t="n"/>
      <c r="H44" s="9">
        <f>IF($A44="","",COUNTIF($A$2:$A44,$A44))</f>
        <v/>
      </c>
      <c r="I44" s="9">
        <f>IF($A44="","",TEXT($A44,"yyyy-mm-dd")&amp;"#"&amp;$H44)</f>
        <v/>
      </c>
    </row>
    <row r="45">
      <c r="A45" s="8" t="n"/>
      <c r="B45" s="9">
        <f>IF($A45="","",TEXT($A45,"ddd"))</f>
        <v/>
      </c>
      <c r="C45" s="4" t="n"/>
      <c r="D45" s="10" t="n"/>
      <c r="E45" s="11">
        <f>IF($C45="","",IFERROR(VLOOKUP($C45,TechRates,3,FALSE),0))</f>
        <v/>
      </c>
      <c r="F45" s="11">
        <f>IF(OR($A45="",$D45=""),"",CEILING($D45*$E45,RoundInc))</f>
        <v/>
      </c>
      <c r="G45" s="4" t="n"/>
      <c r="H45" s="9">
        <f>IF($A45="","",COUNTIF($A$2:$A45,$A45))</f>
        <v/>
      </c>
      <c r="I45" s="9">
        <f>IF($A45="","",TEXT($A45,"yyyy-mm-dd")&amp;"#"&amp;$H45)</f>
        <v/>
      </c>
    </row>
    <row r="46">
      <c r="A46" s="8" t="n"/>
      <c r="B46" s="9">
        <f>IF($A46="","",TEXT($A46,"ddd"))</f>
        <v/>
      </c>
      <c r="C46" s="4" t="n"/>
      <c r="D46" s="10" t="n"/>
      <c r="E46" s="11">
        <f>IF($C46="","",IFERROR(VLOOKUP($C46,TechRates,3,FALSE),0))</f>
        <v/>
      </c>
      <c r="F46" s="11">
        <f>IF(OR($A46="",$D46=""),"",CEILING($D46*$E46,RoundInc))</f>
        <v/>
      </c>
      <c r="G46" s="4" t="n"/>
      <c r="H46" s="9">
        <f>IF($A46="","",COUNTIF($A$2:$A46,$A46))</f>
        <v/>
      </c>
      <c r="I46" s="9">
        <f>IF($A46="","",TEXT($A46,"yyyy-mm-dd")&amp;"#"&amp;$H46)</f>
        <v/>
      </c>
    </row>
    <row r="47">
      <c r="A47" s="8" t="n"/>
      <c r="B47" s="9">
        <f>IF($A47="","",TEXT($A47,"ddd"))</f>
        <v/>
      </c>
      <c r="C47" s="4" t="n"/>
      <c r="D47" s="10" t="n"/>
      <c r="E47" s="11">
        <f>IF($C47="","",IFERROR(VLOOKUP($C47,TechRates,3,FALSE),0))</f>
        <v/>
      </c>
      <c r="F47" s="11">
        <f>IF(OR($A47="",$D47=""),"",CEILING($D47*$E47,RoundInc))</f>
        <v/>
      </c>
      <c r="G47" s="4" t="n"/>
      <c r="H47" s="9">
        <f>IF($A47="","",COUNTIF($A$2:$A47,$A47))</f>
        <v/>
      </c>
      <c r="I47" s="9">
        <f>IF($A47="","",TEXT($A47,"yyyy-mm-dd")&amp;"#"&amp;$H47)</f>
        <v/>
      </c>
    </row>
    <row r="48">
      <c r="A48" s="8" t="n"/>
      <c r="B48" s="9">
        <f>IF($A48="","",TEXT($A48,"ddd"))</f>
        <v/>
      </c>
      <c r="C48" s="4" t="n"/>
      <c r="D48" s="10" t="n"/>
      <c r="E48" s="11">
        <f>IF($C48="","",IFERROR(VLOOKUP($C48,TechRates,3,FALSE),0))</f>
        <v/>
      </c>
      <c r="F48" s="11">
        <f>IF(OR($A48="",$D48=""),"",CEILING($D48*$E48,RoundInc))</f>
        <v/>
      </c>
      <c r="G48" s="4" t="n"/>
      <c r="H48" s="9">
        <f>IF($A48="","",COUNTIF($A$2:$A48,$A48))</f>
        <v/>
      </c>
      <c r="I48" s="9">
        <f>IF($A48="","",TEXT($A48,"yyyy-mm-dd")&amp;"#"&amp;$H48)</f>
        <v/>
      </c>
    </row>
    <row r="49">
      <c r="A49" s="8" t="n"/>
      <c r="B49" s="9">
        <f>IF($A49="","",TEXT($A49,"ddd"))</f>
        <v/>
      </c>
      <c r="C49" s="4" t="n"/>
      <c r="D49" s="10" t="n"/>
      <c r="E49" s="11">
        <f>IF($C49="","",IFERROR(VLOOKUP($C49,TechRates,3,FALSE),0))</f>
        <v/>
      </c>
      <c r="F49" s="11">
        <f>IF(OR($A49="",$D49=""),"",CEILING($D49*$E49,RoundInc))</f>
        <v/>
      </c>
      <c r="G49" s="4" t="n"/>
      <c r="H49" s="9">
        <f>IF($A49="","",COUNTIF($A$2:$A49,$A49))</f>
        <v/>
      </c>
      <c r="I49" s="9">
        <f>IF($A49="","",TEXT($A49,"yyyy-mm-dd")&amp;"#"&amp;$H49)</f>
        <v/>
      </c>
    </row>
    <row r="50">
      <c r="A50" s="8" t="n"/>
      <c r="B50" s="9">
        <f>IF($A50="","",TEXT($A50,"ddd"))</f>
        <v/>
      </c>
      <c r="C50" s="4" t="n"/>
      <c r="D50" s="10" t="n"/>
      <c r="E50" s="11">
        <f>IF($C50="","",IFERROR(VLOOKUP($C50,TechRates,3,FALSE),0))</f>
        <v/>
      </c>
      <c r="F50" s="11">
        <f>IF(OR($A50="",$D50=""),"",CEILING($D50*$E50,RoundInc))</f>
        <v/>
      </c>
      <c r="G50" s="4" t="n"/>
      <c r="H50" s="9">
        <f>IF($A50="","",COUNTIF($A$2:$A50,$A50))</f>
        <v/>
      </c>
      <c r="I50" s="9">
        <f>IF($A50="","",TEXT($A50,"yyyy-mm-dd")&amp;"#"&amp;$H50)</f>
        <v/>
      </c>
    </row>
    <row r="51">
      <c r="A51" s="8" t="n"/>
      <c r="B51" s="9">
        <f>IF($A51="","",TEXT($A51,"ddd"))</f>
        <v/>
      </c>
      <c r="C51" s="4" t="n"/>
      <c r="D51" s="10" t="n"/>
      <c r="E51" s="11">
        <f>IF($C51="","",IFERROR(VLOOKUP($C51,TechRates,3,FALSE),0))</f>
        <v/>
      </c>
      <c r="F51" s="11">
        <f>IF(OR($A51="",$D51=""),"",CEILING($D51*$E51,RoundInc))</f>
        <v/>
      </c>
      <c r="G51" s="4" t="n"/>
      <c r="H51" s="9">
        <f>IF($A51="","",COUNTIF($A$2:$A51,$A51))</f>
        <v/>
      </c>
      <c r="I51" s="9">
        <f>IF($A51="","",TEXT($A51,"yyyy-mm-dd")&amp;"#"&amp;$H51)</f>
        <v/>
      </c>
    </row>
    <row r="52">
      <c r="A52" s="8" t="n"/>
      <c r="B52" s="9">
        <f>IF($A52="","",TEXT($A52,"ddd"))</f>
        <v/>
      </c>
      <c r="C52" s="4" t="n"/>
      <c r="D52" s="10" t="n"/>
      <c r="E52" s="11">
        <f>IF($C52="","",IFERROR(VLOOKUP($C52,TechRates,3,FALSE),0))</f>
        <v/>
      </c>
      <c r="F52" s="11">
        <f>IF(OR($A52="",$D52=""),"",CEILING($D52*$E52,RoundInc))</f>
        <v/>
      </c>
      <c r="G52" s="4" t="n"/>
      <c r="H52" s="9">
        <f>IF($A52="","",COUNTIF($A$2:$A52,$A52))</f>
        <v/>
      </c>
      <c r="I52" s="9">
        <f>IF($A52="","",TEXT($A52,"yyyy-mm-dd")&amp;"#"&amp;$H52)</f>
        <v/>
      </c>
    </row>
    <row r="53">
      <c r="A53" s="8" t="n"/>
      <c r="B53" s="9">
        <f>IF($A53="","",TEXT($A53,"ddd"))</f>
        <v/>
      </c>
      <c r="C53" s="4" t="n"/>
      <c r="D53" s="10" t="n"/>
      <c r="E53" s="11">
        <f>IF($C53="","",IFERROR(VLOOKUP($C53,TechRates,3,FALSE),0))</f>
        <v/>
      </c>
      <c r="F53" s="11">
        <f>IF(OR($A53="",$D53=""),"",CEILING($D53*$E53,RoundInc))</f>
        <v/>
      </c>
      <c r="G53" s="4" t="n"/>
      <c r="H53" s="9">
        <f>IF($A53="","",COUNTIF($A$2:$A53,$A53))</f>
        <v/>
      </c>
      <c r="I53" s="9">
        <f>IF($A53="","",TEXT($A53,"yyyy-mm-dd")&amp;"#"&amp;$H53)</f>
        <v/>
      </c>
    </row>
    <row r="54">
      <c r="A54" s="8" t="n"/>
      <c r="B54" s="9">
        <f>IF($A54="","",TEXT($A54,"ddd"))</f>
        <v/>
      </c>
      <c r="C54" s="4" t="n"/>
      <c r="D54" s="10" t="n"/>
      <c r="E54" s="11">
        <f>IF($C54="","",IFERROR(VLOOKUP($C54,TechRates,3,FALSE),0))</f>
        <v/>
      </c>
      <c r="F54" s="11">
        <f>IF(OR($A54="",$D54=""),"",CEILING($D54*$E54,RoundInc))</f>
        <v/>
      </c>
      <c r="G54" s="4" t="n"/>
      <c r="H54" s="9">
        <f>IF($A54="","",COUNTIF($A$2:$A54,$A54))</f>
        <v/>
      </c>
      <c r="I54" s="9">
        <f>IF($A54="","",TEXT($A54,"yyyy-mm-dd")&amp;"#"&amp;$H54)</f>
        <v/>
      </c>
    </row>
    <row r="55">
      <c r="A55" s="8" t="n"/>
      <c r="B55" s="9">
        <f>IF($A55="","",TEXT($A55,"ddd"))</f>
        <v/>
      </c>
      <c r="C55" s="4" t="n"/>
      <c r="D55" s="10" t="n"/>
      <c r="E55" s="11">
        <f>IF($C55="","",IFERROR(VLOOKUP($C55,TechRates,3,FALSE),0))</f>
        <v/>
      </c>
      <c r="F55" s="11">
        <f>IF(OR($A55="",$D55=""),"",CEILING($D55*$E55,RoundInc))</f>
        <v/>
      </c>
      <c r="G55" s="4" t="n"/>
      <c r="H55" s="9">
        <f>IF($A55="","",COUNTIF($A$2:$A55,$A55))</f>
        <v/>
      </c>
      <c r="I55" s="9">
        <f>IF($A55="","",TEXT($A55,"yyyy-mm-dd")&amp;"#"&amp;$H55)</f>
        <v/>
      </c>
    </row>
    <row r="56">
      <c r="A56" s="8" t="n"/>
      <c r="B56" s="9">
        <f>IF($A56="","",TEXT($A56,"ddd"))</f>
        <v/>
      </c>
      <c r="C56" s="4" t="n"/>
      <c r="D56" s="10" t="n"/>
      <c r="E56" s="11">
        <f>IF($C56="","",IFERROR(VLOOKUP($C56,TechRates,3,FALSE),0))</f>
        <v/>
      </c>
      <c r="F56" s="11">
        <f>IF(OR($A56="",$D56=""),"",CEILING($D56*$E56,RoundInc))</f>
        <v/>
      </c>
      <c r="G56" s="4" t="n"/>
      <c r="H56" s="9">
        <f>IF($A56="","",COUNTIF($A$2:$A56,$A56))</f>
        <v/>
      </c>
      <c r="I56" s="9">
        <f>IF($A56="","",TEXT($A56,"yyyy-mm-dd")&amp;"#"&amp;$H56)</f>
        <v/>
      </c>
    </row>
    <row r="57">
      <c r="A57" s="8" t="n"/>
      <c r="B57" s="9">
        <f>IF($A57="","",TEXT($A57,"ddd"))</f>
        <v/>
      </c>
      <c r="C57" s="4" t="n"/>
      <c r="D57" s="10" t="n"/>
      <c r="E57" s="11">
        <f>IF($C57="","",IFERROR(VLOOKUP($C57,TechRates,3,FALSE),0))</f>
        <v/>
      </c>
      <c r="F57" s="11">
        <f>IF(OR($A57="",$D57=""),"",CEILING($D57*$E57,RoundInc))</f>
        <v/>
      </c>
      <c r="G57" s="4" t="n"/>
      <c r="H57" s="9">
        <f>IF($A57="","",COUNTIF($A$2:$A57,$A57))</f>
        <v/>
      </c>
      <c r="I57" s="9">
        <f>IF($A57="","",TEXT($A57,"yyyy-mm-dd")&amp;"#"&amp;$H57)</f>
        <v/>
      </c>
    </row>
    <row r="58">
      <c r="A58" s="8" t="n"/>
      <c r="B58" s="9">
        <f>IF($A58="","",TEXT($A58,"ddd"))</f>
        <v/>
      </c>
      <c r="C58" s="4" t="n"/>
      <c r="D58" s="10" t="n"/>
      <c r="E58" s="11">
        <f>IF($C58="","",IFERROR(VLOOKUP($C58,TechRates,3,FALSE),0))</f>
        <v/>
      </c>
      <c r="F58" s="11">
        <f>IF(OR($A58="",$D58=""),"",CEILING($D58*$E58,RoundInc))</f>
        <v/>
      </c>
      <c r="G58" s="4" t="n"/>
      <c r="H58" s="9">
        <f>IF($A58="","",COUNTIF($A$2:$A58,$A58))</f>
        <v/>
      </c>
      <c r="I58" s="9">
        <f>IF($A58="","",TEXT($A58,"yyyy-mm-dd")&amp;"#"&amp;$H58)</f>
        <v/>
      </c>
    </row>
    <row r="59">
      <c r="A59" s="8" t="n"/>
      <c r="B59" s="9">
        <f>IF($A59="","",TEXT($A59,"ddd"))</f>
        <v/>
      </c>
      <c r="C59" s="4" t="n"/>
      <c r="D59" s="10" t="n"/>
      <c r="E59" s="11">
        <f>IF($C59="","",IFERROR(VLOOKUP($C59,TechRates,3,FALSE),0))</f>
        <v/>
      </c>
      <c r="F59" s="11">
        <f>IF(OR($A59="",$D59=""),"",CEILING($D59*$E59,RoundInc))</f>
        <v/>
      </c>
      <c r="G59" s="4" t="n"/>
      <c r="H59" s="9">
        <f>IF($A59="","",COUNTIF($A$2:$A59,$A59))</f>
        <v/>
      </c>
      <c r="I59" s="9">
        <f>IF($A59="","",TEXT($A59,"yyyy-mm-dd")&amp;"#"&amp;$H59)</f>
        <v/>
      </c>
    </row>
    <row r="60">
      <c r="A60" s="8" t="n"/>
      <c r="B60" s="9">
        <f>IF($A60="","",TEXT($A60,"ddd"))</f>
        <v/>
      </c>
      <c r="C60" s="4" t="n"/>
      <c r="D60" s="10" t="n"/>
      <c r="E60" s="11">
        <f>IF($C60="","",IFERROR(VLOOKUP($C60,TechRates,3,FALSE),0))</f>
        <v/>
      </c>
      <c r="F60" s="11">
        <f>IF(OR($A60="",$D60=""),"",CEILING($D60*$E60,RoundInc))</f>
        <v/>
      </c>
      <c r="G60" s="4" t="n"/>
      <c r="H60" s="9">
        <f>IF($A60="","",COUNTIF($A$2:$A60,$A60))</f>
        <v/>
      </c>
      <c r="I60" s="9">
        <f>IF($A60="","",TEXT($A60,"yyyy-mm-dd")&amp;"#"&amp;$H60)</f>
        <v/>
      </c>
    </row>
    <row r="61">
      <c r="A61" s="8" t="n"/>
      <c r="B61" s="9">
        <f>IF($A61="","",TEXT($A61,"ddd"))</f>
        <v/>
      </c>
      <c r="C61" s="4" t="n"/>
      <c r="D61" s="10" t="n"/>
      <c r="E61" s="11">
        <f>IF($C61="","",IFERROR(VLOOKUP($C61,TechRates,3,FALSE),0))</f>
        <v/>
      </c>
      <c r="F61" s="11">
        <f>IF(OR($A61="",$D61=""),"",CEILING($D61*$E61,RoundInc))</f>
        <v/>
      </c>
      <c r="G61" s="4" t="n"/>
      <c r="H61" s="9">
        <f>IF($A61="","",COUNTIF($A$2:$A61,$A61))</f>
        <v/>
      </c>
      <c r="I61" s="9">
        <f>IF($A61="","",TEXT($A61,"yyyy-mm-dd")&amp;"#"&amp;$H61)</f>
        <v/>
      </c>
    </row>
    <row r="62">
      <c r="A62" s="8" t="n"/>
      <c r="B62" s="9">
        <f>IF($A62="","",TEXT($A62,"ddd"))</f>
        <v/>
      </c>
      <c r="C62" s="4" t="n"/>
      <c r="D62" s="10" t="n"/>
      <c r="E62" s="11">
        <f>IF($C62="","",IFERROR(VLOOKUP($C62,TechRates,3,FALSE),0))</f>
        <v/>
      </c>
      <c r="F62" s="11">
        <f>IF(OR($A62="",$D62=""),"",CEILING($D62*$E62,RoundInc))</f>
        <v/>
      </c>
      <c r="G62" s="4" t="n"/>
      <c r="H62" s="9">
        <f>IF($A62="","",COUNTIF($A$2:$A62,$A62))</f>
        <v/>
      </c>
      <c r="I62" s="9">
        <f>IF($A62="","",TEXT($A62,"yyyy-mm-dd")&amp;"#"&amp;$H62)</f>
        <v/>
      </c>
    </row>
    <row r="63">
      <c r="A63" s="8" t="n"/>
      <c r="B63" s="9">
        <f>IF($A63="","",TEXT($A63,"ddd"))</f>
        <v/>
      </c>
      <c r="C63" s="4" t="n"/>
      <c r="D63" s="10" t="n"/>
      <c r="E63" s="11">
        <f>IF($C63="","",IFERROR(VLOOKUP($C63,TechRates,3,FALSE),0))</f>
        <v/>
      </c>
      <c r="F63" s="11">
        <f>IF(OR($A63="",$D63=""),"",CEILING($D63*$E63,RoundInc))</f>
        <v/>
      </c>
      <c r="G63" s="4" t="n"/>
      <c r="H63" s="9">
        <f>IF($A63="","",COUNTIF($A$2:$A63,$A63))</f>
        <v/>
      </c>
      <c r="I63" s="9">
        <f>IF($A63="","",TEXT($A63,"yyyy-mm-dd")&amp;"#"&amp;$H63)</f>
        <v/>
      </c>
    </row>
    <row r="64">
      <c r="A64" s="8" t="n"/>
      <c r="B64" s="9">
        <f>IF($A64="","",TEXT($A64,"ddd"))</f>
        <v/>
      </c>
      <c r="C64" s="4" t="n"/>
      <c r="D64" s="10" t="n"/>
      <c r="E64" s="11">
        <f>IF($C64="","",IFERROR(VLOOKUP($C64,TechRates,3,FALSE),0))</f>
        <v/>
      </c>
      <c r="F64" s="11">
        <f>IF(OR($A64="",$D64=""),"",CEILING($D64*$E64,RoundInc))</f>
        <v/>
      </c>
      <c r="G64" s="4" t="n"/>
      <c r="H64" s="9">
        <f>IF($A64="","",COUNTIF($A$2:$A64,$A64))</f>
        <v/>
      </c>
      <c r="I64" s="9">
        <f>IF($A64="","",TEXT($A64,"yyyy-mm-dd")&amp;"#"&amp;$H64)</f>
        <v/>
      </c>
    </row>
    <row r="65">
      <c r="A65" s="8" t="n"/>
      <c r="B65" s="9">
        <f>IF($A65="","",TEXT($A65,"ddd"))</f>
        <v/>
      </c>
      <c r="C65" s="4" t="n"/>
      <c r="D65" s="10" t="n"/>
      <c r="E65" s="11">
        <f>IF($C65="","",IFERROR(VLOOKUP($C65,TechRates,3,FALSE),0))</f>
        <v/>
      </c>
      <c r="F65" s="11">
        <f>IF(OR($A65="",$D65=""),"",CEILING($D65*$E65,RoundInc))</f>
        <v/>
      </c>
      <c r="G65" s="4" t="n"/>
      <c r="H65" s="9">
        <f>IF($A65="","",COUNTIF($A$2:$A65,$A65))</f>
        <v/>
      </c>
      <c r="I65" s="9">
        <f>IF($A65="","",TEXT($A65,"yyyy-mm-dd")&amp;"#"&amp;$H65)</f>
        <v/>
      </c>
    </row>
    <row r="66">
      <c r="A66" s="8" t="n"/>
      <c r="B66" s="9">
        <f>IF($A66="","",TEXT($A66,"ddd"))</f>
        <v/>
      </c>
      <c r="C66" s="4" t="n"/>
      <c r="D66" s="10" t="n"/>
      <c r="E66" s="11">
        <f>IF($C66="","",IFERROR(VLOOKUP($C66,TechRates,3,FALSE),0))</f>
        <v/>
      </c>
      <c r="F66" s="11">
        <f>IF(OR($A66="",$D66=""),"",CEILING($D66*$E66,RoundInc))</f>
        <v/>
      </c>
      <c r="G66" s="4" t="n"/>
      <c r="H66" s="9">
        <f>IF($A66="","",COUNTIF($A$2:$A66,$A66))</f>
        <v/>
      </c>
      <c r="I66" s="9">
        <f>IF($A66="","",TEXT($A66,"yyyy-mm-dd")&amp;"#"&amp;$H66)</f>
        <v/>
      </c>
    </row>
    <row r="67">
      <c r="A67" s="8" t="n"/>
      <c r="B67" s="9">
        <f>IF($A67="","",TEXT($A67,"ddd"))</f>
        <v/>
      </c>
      <c r="C67" s="4" t="n"/>
      <c r="D67" s="10" t="n"/>
      <c r="E67" s="11">
        <f>IF($C67="","",IFERROR(VLOOKUP($C67,TechRates,3,FALSE),0))</f>
        <v/>
      </c>
      <c r="F67" s="11">
        <f>IF(OR($A67="",$D67=""),"",CEILING($D67*$E67,RoundInc))</f>
        <v/>
      </c>
      <c r="G67" s="4" t="n"/>
      <c r="H67" s="9">
        <f>IF($A67="","",COUNTIF($A$2:$A67,$A67))</f>
        <v/>
      </c>
      <c r="I67" s="9">
        <f>IF($A67="","",TEXT($A67,"yyyy-mm-dd")&amp;"#"&amp;$H67)</f>
        <v/>
      </c>
    </row>
    <row r="68">
      <c r="A68" s="8" t="n"/>
      <c r="B68" s="9">
        <f>IF($A68="","",TEXT($A68,"ddd"))</f>
        <v/>
      </c>
      <c r="C68" s="4" t="n"/>
      <c r="D68" s="10" t="n"/>
      <c r="E68" s="11">
        <f>IF($C68="","",IFERROR(VLOOKUP($C68,TechRates,3,FALSE),0))</f>
        <v/>
      </c>
      <c r="F68" s="11">
        <f>IF(OR($A68="",$D68=""),"",CEILING($D68*$E68,RoundInc))</f>
        <v/>
      </c>
      <c r="G68" s="4" t="n"/>
      <c r="H68" s="9">
        <f>IF($A68="","",COUNTIF($A$2:$A68,$A68))</f>
        <v/>
      </c>
      <c r="I68" s="9">
        <f>IF($A68="","",TEXT($A68,"yyyy-mm-dd")&amp;"#"&amp;$H68)</f>
        <v/>
      </c>
    </row>
    <row r="69">
      <c r="A69" s="8" t="n"/>
      <c r="B69" s="9">
        <f>IF($A69="","",TEXT($A69,"ddd"))</f>
        <v/>
      </c>
      <c r="C69" s="4" t="n"/>
      <c r="D69" s="10" t="n"/>
      <c r="E69" s="11">
        <f>IF($C69="","",IFERROR(VLOOKUP($C69,TechRates,3,FALSE),0))</f>
        <v/>
      </c>
      <c r="F69" s="11">
        <f>IF(OR($A69="",$D69=""),"",CEILING($D69*$E69,RoundInc))</f>
        <v/>
      </c>
      <c r="G69" s="4" t="n"/>
      <c r="H69" s="9">
        <f>IF($A69="","",COUNTIF($A$2:$A69,$A69))</f>
        <v/>
      </c>
      <c r="I69" s="9">
        <f>IF($A69="","",TEXT($A69,"yyyy-mm-dd")&amp;"#"&amp;$H69)</f>
        <v/>
      </c>
    </row>
    <row r="70">
      <c r="A70" s="8" t="n"/>
      <c r="B70" s="9">
        <f>IF($A70="","",TEXT($A70,"ddd"))</f>
        <v/>
      </c>
      <c r="C70" s="4" t="n"/>
      <c r="D70" s="10" t="n"/>
      <c r="E70" s="11">
        <f>IF($C70="","",IFERROR(VLOOKUP($C70,TechRates,3,FALSE),0))</f>
        <v/>
      </c>
      <c r="F70" s="11">
        <f>IF(OR($A70="",$D70=""),"",CEILING($D70*$E70,RoundInc))</f>
        <v/>
      </c>
      <c r="G70" s="4" t="n"/>
      <c r="H70" s="9">
        <f>IF($A70="","",COUNTIF($A$2:$A70,$A70))</f>
        <v/>
      </c>
      <c r="I70" s="9">
        <f>IF($A70="","",TEXT($A70,"yyyy-mm-dd")&amp;"#"&amp;$H70)</f>
        <v/>
      </c>
    </row>
    <row r="71">
      <c r="A71" s="8" t="n"/>
      <c r="B71" s="9">
        <f>IF($A71="","",TEXT($A71,"ddd"))</f>
        <v/>
      </c>
      <c r="C71" s="4" t="n"/>
      <c r="D71" s="10" t="n"/>
      <c r="E71" s="11">
        <f>IF($C71="","",IFERROR(VLOOKUP($C71,TechRates,3,FALSE),0))</f>
        <v/>
      </c>
      <c r="F71" s="11">
        <f>IF(OR($A71="",$D71=""),"",CEILING($D71*$E71,RoundInc))</f>
        <v/>
      </c>
      <c r="G71" s="4" t="n"/>
      <c r="H71" s="9">
        <f>IF($A71="","",COUNTIF($A$2:$A71,$A71))</f>
        <v/>
      </c>
      <c r="I71" s="9">
        <f>IF($A71="","",TEXT($A71,"yyyy-mm-dd")&amp;"#"&amp;$H71)</f>
        <v/>
      </c>
    </row>
    <row r="72">
      <c r="A72" s="8" t="n"/>
      <c r="B72" s="9">
        <f>IF($A72="","",TEXT($A72,"ddd"))</f>
        <v/>
      </c>
      <c r="C72" s="4" t="n"/>
      <c r="D72" s="10" t="n"/>
      <c r="E72" s="11">
        <f>IF($C72="","",IFERROR(VLOOKUP($C72,TechRates,3,FALSE),0))</f>
        <v/>
      </c>
      <c r="F72" s="11">
        <f>IF(OR($A72="",$D72=""),"",CEILING($D72*$E72,RoundInc))</f>
        <v/>
      </c>
      <c r="G72" s="4" t="n"/>
      <c r="H72" s="9">
        <f>IF($A72="","",COUNTIF($A$2:$A72,$A72))</f>
        <v/>
      </c>
      <c r="I72" s="9">
        <f>IF($A72="","",TEXT($A72,"yyyy-mm-dd")&amp;"#"&amp;$H72)</f>
        <v/>
      </c>
    </row>
    <row r="73">
      <c r="A73" s="8" t="n"/>
      <c r="B73" s="9">
        <f>IF($A73="","",TEXT($A73,"ddd"))</f>
        <v/>
      </c>
      <c r="C73" s="4" t="n"/>
      <c r="D73" s="10" t="n"/>
      <c r="E73" s="11">
        <f>IF($C73="","",IFERROR(VLOOKUP($C73,TechRates,3,FALSE),0))</f>
        <v/>
      </c>
      <c r="F73" s="11">
        <f>IF(OR($A73="",$D73=""),"",CEILING($D73*$E73,RoundInc))</f>
        <v/>
      </c>
      <c r="G73" s="4" t="n"/>
      <c r="H73" s="9">
        <f>IF($A73="","",COUNTIF($A$2:$A73,$A73))</f>
        <v/>
      </c>
      <c r="I73" s="9">
        <f>IF($A73="","",TEXT($A73,"yyyy-mm-dd")&amp;"#"&amp;$H73)</f>
        <v/>
      </c>
    </row>
    <row r="74">
      <c r="A74" s="8" t="n"/>
      <c r="B74" s="9">
        <f>IF($A74="","",TEXT($A74,"ddd"))</f>
        <v/>
      </c>
      <c r="C74" s="4" t="n"/>
      <c r="D74" s="10" t="n"/>
      <c r="E74" s="11">
        <f>IF($C74="","",IFERROR(VLOOKUP($C74,TechRates,3,FALSE),0))</f>
        <v/>
      </c>
      <c r="F74" s="11">
        <f>IF(OR($A74="",$D74=""),"",CEILING($D74*$E74,RoundInc))</f>
        <v/>
      </c>
      <c r="G74" s="4" t="n"/>
      <c r="H74" s="9">
        <f>IF($A74="","",COUNTIF($A$2:$A74,$A74))</f>
        <v/>
      </c>
      <c r="I74" s="9">
        <f>IF($A74="","",TEXT($A74,"yyyy-mm-dd")&amp;"#"&amp;$H74)</f>
        <v/>
      </c>
    </row>
    <row r="75">
      <c r="A75" s="8" t="n"/>
      <c r="B75" s="9">
        <f>IF($A75="","",TEXT($A75,"ddd"))</f>
        <v/>
      </c>
      <c r="C75" s="4" t="n"/>
      <c r="D75" s="10" t="n"/>
      <c r="E75" s="11">
        <f>IF($C75="","",IFERROR(VLOOKUP($C75,TechRates,3,FALSE),0))</f>
        <v/>
      </c>
      <c r="F75" s="11">
        <f>IF(OR($A75="",$D75=""),"",CEILING($D75*$E75,RoundInc))</f>
        <v/>
      </c>
      <c r="G75" s="4" t="n"/>
      <c r="H75" s="9">
        <f>IF($A75="","",COUNTIF($A$2:$A75,$A75))</f>
        <v/>
      </c>
      <c r="I75" s="9">
        <f>IF($A75="","",TEXT($A75,"yyyy-mm-dd")&amp;"#"&amp;$H75)</f>
        <v/>
      </c>
    </row>
    <row r="76">
      <c r="A76" s="8" t="n"/>
      <c r="B76" s="9">
        <f>IF($A76="","",TEXT($A76,"ddd"))</f>
        <v/>
      </c>
      <c r="C76" s="4" t="n"/>
      <c r="D76" s="10" t="n"/>
      <c r="E76" s="11">
        <f>IF($C76="","",IFERROR(VLOOKUP($C76,TechRates,3,FALSE),0))</f>
        <v/>
      </c>
      <c r="F76" s="11">
        <f>IF(OR($A76="",$D76=""),"",CEILING($D76*$E76,RoundInc))</f>
        <v/>
      </c>
      <c r="G76" s="4" t="n"/>
      <c r="H76" s="9">
        <f>IF($A76="","",COUNTIF($A$2:$A76,$A76))</f>
        <v/>
      </c>
      <c r="I76" s="9">
        <f>IF($A76="","",TEXT($A76,"yyyy-mm-dd")&amp;"#"&amp;$H76)</f>
        <v/>
      </c>
    </row>
    <row r="77">
      <c r="A77" s="8" t="n"/>
      <c r="B77" s="9">
        <f>IF($A77="","",TEXT($A77,"ddd"))</f>
        <v/>
      </c>
      <c r="C77" s="4" t="n"/>
      <c r="D77" s="10" t="n"/>
      <c r="E77" s="11">
        <f>IF($C77="","",IFERROR(VLOOKUP($C77,TechRates,3,FALSE),0))</f>
        <v/>
      </c>
      <c r="F77" s="11">
        <f>IF(OR($A77="",$D77=""),"",CEILING($D77*$E77,RoundInc))</f>
        <v/>
      </c>
      <c r="G77" s="4" t="n"/>
      <c r="H77" s="9">
        <f>IF($A77="","",COUNTIF($A$2:$A77,$A77))</f>
        <v/>
      </c>
      <c r="I77" s="9">
        <f>IF($A77="","",TEXT($A77,"yyyy-mm-dd")&amp;"#"&amp;$H77)</f>
        <v/>
      </c>
    </row>
    <row r="78">
      <c r="A78" s="8" t="n"/>
      <c r="B78" s="9">
        <f>IF($A78="","",TEXT($A78,"ddd"))</f>
        <v/>
      </c>
      <c r="C78" s="4" t="n"/>
      <c r="D78" s="10" t="n"/>
      <c r="E78" s="11">
        <f>IF($C78="","",IFERROR(VLOOKUP($C78,TechRates,3,FALSE),0))</f>
        <v/>
      </c>
      <c r="F78" s="11">
        <f>IF(OR($A78="",$D78=""),"",CEILING($D78*$E78,RoundInc))</f>
        <v/>
      </c>
      <c r="G78" s="4" t="n"/>
      <c r="H78" s="9">
        <f>IF($A78="","",COUNTIF($A$2:$A78,$A78))</f>
        <v/>
      </c>
      <c r="I78" s="9">
        <f>IF($A78="","",TEXT($A78,"yyyy-mm-dd")&amp;"#"&amp;$H78)</f>
        <v/>
      </c>
    </row>
    <row r="79">
      <c r="A79" s="8" t="n"/>
      <c r="B79" s="9">
        <f>IF($A79="","",TEXT($A79,"ddd"))</f>
        <v/>
      </c>
      <c r="C79" s="4" t="n"/>
      <c r="D79" s="10" t="n"/>
      <c r="E79" s="11">
        <f>IF($C79="","",IFERROR(VLOOKUP($C79,TechRates,3,FALSE),0))</f>
        <v/>
      </c>
      <c r="F79" s="11">
        <f>IF(OR($A79="",$D79=""),"",CEILING($D79*$E79,RoundInc))</f>
        <v/>
      </c>
      <c r="G79" s="4" t="n"/>
      <c r="H79" s="9">
        <f>IF($A79="","",COUNTIF($A$2:$A79,$A79))</f>
        <v/>
      </c>
      <c r="I79" s="9">
        <f>IF($A79="","",TEXT($A79,"yyyy-mm-dd")&amp;"#"&amp;$H79)</f>
        <v/>
      </c>
    </row>
    <row r="80">
      <c r="A80" s="8" t="n"/>
      <c r="B80" s="9">
        <f>IF($A80="","",TEXT($A80,"ddd"))</f>
        <v/>
      </c>
      <c r="C80" s="4" t="n"/>
      <c r="D80" s="10" t="n"/>
      <c r="E80" s="11">
        <f>IF($C80="","",IFERROR(VLOOKUP($C80,TechRates,3,FALSE),0))</f>
        <v/>
      </c>
      <c r="F80" s="11">
        <f>IF(OR($A80="",$D80=""),"",CEILING($D80*$E80,RoundInc))</f>
        <v/>
      </c>
      <c r="G80" s="4" t="n"/>
      <c r="H80" s="9">
        <f>IF($A80="","",COUNTIF($A$2:$A80,$A80))</f>
        <v/>
      </c>
      <c r="I80" s="9">
        <f>IF($A80="","",TEXT($A80,"yyyy-mm-dd")&amp;"#"&amp;$H80)</f>
        <v/>
      </c>
    </row>
    <row r="81">
      <c r="A81" s="8" t="n"/>
      <c r="B81" s="9">
        <f>IF($A81="","",TEXT($A81,"ddd"))</f>
        <v/>
      </c>
      <c r="C81" s="4" t="n"/>
      <c r="D81" s="10" t="n"/>
      <c r="E81" s="11">
        <f>IF($C81="","",IFERROR(VLOOKUP($C81,TechRates,3,FALSE),0))</f>
        <v/>
      </c>
      <c r="F81" s="11">
        <f>IF(OR($A81="",$D81=""),"",CEILING($D81*$E81,RoundInc))</f>
        <v/>
      </c>
      <c r="G81" s="4" t="n"/>
      <c r="H81" s="9">
        <f>IF($A81="","",COUNTIF($A$2:$A81,$A81))</f>
        <v/>
      </c>
      <c r="I81" s="9">
        <f>IF($A81="","",TEXT($A81,"yyyy-mm-dd")&amp;"#"&amp;$H81)</f>
        <v/>
      </c>
    </row>
    <row r="82">
      <c r="A82" s="8" t="n"/>
      <c r="B82" s="9">
        <f>IF($A82="","",TEXT($A82,"ddd"))</f>
        <v/>
      </c>
      <c r="C82" s="4" t="n"/>
      <c r="D82" s="10" t="n"/>
      <c r="E82" s="11">
        <f>IF($C82="","",IFERROR(VLOOKUP($C82,TechRates,3,FALSE),0))</f>
        <v/>
      </c>
      <c r="F82" s="11">
        <f>IF(OR($A82="",$D82=""),"",CEILING($D82*$E82,RoundInc))</f>
        <v/>
      </c>
      <c r="G82" s="4" t="n"/>
      <c r="H82" s="9">
        <f>IF($A82="","",COUNTIF($A$2:$A82,$A82))</f>
        <v/>
      </c>
      <c r="I82" s="9">
        <f>IF($A82="","",TEXT($A82,"yyyy-mm-dd")&amp;"#"&amp;$H82)</f>
        <v/>
      </c>
    </row>
    <row r="83">
      <c r="A83" s="8" t="n"/>
      <c r="B83" s="9">
        <f>IF($A83="","",TEXT($A83,"ddd"))</f>
        <v/>
      </c>
      <c r="C83" s="4" t="n"/>
      <c r="D83" s="10" t="n"/>
      <c r="E83" s="11">
        <f>IF($C83="","",IFERROR(VLOOKUP($C83,TechRates,3,FALSE),0))</f>
        <v/>
      </c>
      <c r="F83" s="11">
        <f>IF(OR($A83="",$D83=""),"",CEILING($D83*$E83,RoundInc))</f>
        <v/>
      </c>
      <c r="G83" s="4" t="n"/>
      <c r="H83" s="9">
        <f>IF($A83="","",COUNTIF($A$2:$A83,$A83))</f>
        <v/>
      </c>
      <c r="I83" s="9">
        <f>IF($A83="","",TEXT($A83,"yyyy-mm-dd")&amp;"#"&amp;$H83)</f>
        <v/>
      </c>
    </row>
    <row r="84">
      <c r="A84" s="8" t="n"/>
      <c r="B84" s="9">
        <f>IF($A84="","",TEXT($A84,"ddd"))</f>
        <v/>
      </c>
      <c r="C84" s="4" t="n"/>
      <c r="D84" s="10" t="n"/>
      <c r="E84" s="11">
        <f>IF($C84="","",IFERROR(VLOOKUP($C84,TechRates,3,FALSE),0))</f>
        <v/>
      </c>
      <c r="F84" s="11">
        <f>IF(OR($A84="",$D84=""),"",CEILING($D84*$E84,RoundInc))</f>
        <v/>
      </c>
      <c r="G84" s="4" t="n"/>
      <c r="H84" s="9">
        <f>IF($A84="","",COUNTIF($A$2:$A84,$A84))</f>
        <v/>
      </c>
      <c r="I84" s="9">
        <f>IF($A84="","",TEXT($A84,"yyyy-mm-dd")&amp;"#"&amp;$H84)</f>
        <v/>
      </c>
    </row>
    <row r="85">
      <c r="A85" s="8" t="n"/>
      <c r="B85" s="9">
        <f>IF($A85="","",TEXT($A85,"ddd"))</f>
        <v/>
      </c>
      <c r="C85" s="4" t="n"/>
      <c r="D85" s="10" t="n"/>
      <c r="E85" s="11">
        <f>IF($C85="","",IFERROR(VLOOKUP($C85,TechRates,3,FALSE),0))</f>
        <v/>
      </c>
      <c r="F85" s="11">
        <f>IF(OR($A85="",$D85=""),"",CEILING($D85*$E85,RoundInc))</f>
        <v/>
      </c>
      <c r="G85" s="4" t="n"/>
      <c r="H85" s="9">
        <f>IF($A85="","",COUNTIF($A$2:$A85,$A85))</f>
        <v/>
      </c>
      <c r="I85" s="9">
        <f>IF($A85="","",TEXT($A85,"yyyy-mm-dd")&amp;"#"&amp;$H85)</f>
        <v/>
      </c>
    </row>
    <row r="86">
      <c r="A86" s="8" t="n"/>
      <c r="B86" s="9">
        <f>IF($A86="","",TEXT($A86,"ddd"))</f>
        <v/>
      </c>
      <c r="C86" s="4" t="n"/>
      <c r="D86" s="10" t="n"/>
      <c r="E86" s="11">
        <f>IF($C86="","",IFERROR(VLOOKUP($C86,TechRates,3,FALSE),0))</f>
        <v/>
      </c>
      <c r="F86" s="11">
        <f>IF(OR($A86="",$D86=""),"",CEILING($D86*$E86,RoundInc))</f>
        <v/>
      </c>
      <c r="G86" s="4" t="n"/>
      <c r="H86" s="9">
        <f>IF($A86="","",COUNTIF($A$2:$A86,$A86))</f>
        <v/>
      </c>
      <c r="I86" s="9">
        <f>IF($A86="","",TEXT($A86,"yyyy-mm-dd")&amp;"#"&amp;$H86)</f>
        <v/>
      </c>
    </row>
    <row r="87">
      <c r="A87" s="8" t="n"/>
      <c r="B87" s="9">
        <f>IF($A87="","",TEXT($A87,"ddd"))</f>
        <v/>
      </c>
      <c r="C87" s="4" t="n"/>
      <c r="D87" s="10" t="n"/>
      <c r="E87" s="11">
        <f>IF($C87="","",IFERROR(VLOOKUP($C87,TechRates,3,FALSE),0))</f>
        <v/>
      </c>
      <c r="F87" s="11">
        <f>IF(OR($A87="",$D87=""),"",CEILING($D87*$E87,RoundInc))</f>
        <v/>
      </c>
      <c r="G87" s="4" t="n"/>
      <c r="H87" s="9">
        <f>IF($A87="","",COUNTIF($A$2:$A87,$A87))</f>
        <v/>
      </c>
      <c r="I87" s="9">
        <f>IF($A87="","",TEXT($A87,"yyyy-mm-dd")&amp;"#"&amp;$H87)</f>
        <v/>
      </c>
    </row>
    <row r="88">
      <c r="A88" s="8" t="n"/>
      <c r="B88" s="9">
        <f>IF($A88="","",TEXT($A88,"ddd"))</f>
        <v/>
      </c>
      <c r="C88" s="4" t="n"/>
      <c r="D88" s="10" t="n"/>
      <c r="E88" s="11">
        <f>IF($C88="","",IFERROR(VLOOKUP($C88,TechRates,3,FALSE),0))</f>
        <v/>
      </c>
      <c r="F88" s="11">
        <f>IF(OR($A88="",$D88=""),"",CEILING($D88*$E88,RoundInc))</f>
        <v/>
      </c>
      <c r="G88" s="4" t="n"/>
      <c r="H88" s="9">
        <f>IF($A88="","",COUNTIF($A$2:$A88,$A88))</f>
        <v/>
      </c>
      <c r="I88" s="9">
        <f>IF($A88="","",TEXT($A88,"yyyy-mm-dd")&amp;"#"&amp;$H88)</f>
        <v/>
      </c>
    </row>
    <row r="89">
      <c r="A89" s="8" t="n"/>
      <c r="B89" s="9">
        <f>IF($A89="","",TEXT($A89,"ddd"))</f>
        <v/>
      </c>
      <c r="C89" s="4" t="n"/>
      <c r="D89" s="10" t="n"/>
      <c r="E89" s="11">
        <f>IF($C89="","",IFERROR(VLOOKUP($C89,TechRates,3,FALSE),0))</f>
        <v/>
      </c>
      <c r="F89" s="11">
        <f>IF(OR($A89="",$D89=""),"",CEILING($D89*$E89,RoundInc))</f>
        <v/>
      </c>
      <c r="G89" s="4" t="n"/>
      <c r="H89" s="9">
        <f>IF($A89="","",COUNTIF($A$2:$A89,$A89))</f>
        <v/>
      </c>
      <c r="I89" s="9">
        <f>IF($A89="","",TEXT($A89,"yyyy-mm-dd")&amp;"#"&amp;$H89)</f>
        <v/>
      </c>
    </row>
    <row r="90">
      <c r="A90" s="8" t="n"/>
      <c r="B90" s="9">
        <f>IF($A90="","",TEXT($A90,"ddd"))</f>
        <v/>
      </c>
      <c r="C90" s="4" t="n"/>
      <c r="D90" s="10" t="n"/>
      <c r="E90" s="11">
        <f>IF($C90="","",IFERROR(VLOOKUP($C90,TechRates,3,FALSE),0))</f>
        <v/>
      </c>
      <c r="F90" s="11">
        <f>IF(OR($A90="",$D90=""),"",CEILING($D90*$E90,RoundInc))</f>
        <v/>
      </c>
      <c r="G90" s="4" t="n"/>
      <c r="H90" s="9">
        <f>IF($A90="","",COUNTIF($A$2:$A90,$A90))</f>
        <v/>
      </c>
      <c r="I90" s="9">
        <f>IF($A90="","",TEXT($A90,"yyyy-mm-dd")&amp;"#"&amp;$H90)</f>
        <v/>
      </c>
    </row>
    <row r="91">
      <c r="A91" s="8" t="n"/>
      <c r="B91" s="9">
        <f>IF($A91="","",TEXT($A91,"ddd"))</f>
        <v/>
      </c>
      <c r="C91" s="4" t="n"/>
      <c r="D91" s="10" t="n"/>
      <c r="E91" s="11">
        <f>IF($C91="","",IFERROR(VLOOKUP($C91,TechRates,3,FALSE),0))</f>
        <v/>
      </c>
      <c r="F91" s="11">
        <f>IF(OR($A91="",$D91=""),"",CEILING($D91*$E91,RoundInc))</f>
        <v/>
      </c>
      <c r="G91" s="4" t="n"/>
      <c r="H91" s="9">
        <f>IF($A91="","",COUNTIF($A$2:$A91,$A91))</f>
        <v/>
      </c>
      <c r="I91" s="9">
        <f>IF($A91="","",TEXT($A91,"yyyy-mm-dd")&amp;"#"&amp;$H91)</f>
        <v/>
      </c>
    </row>
    <row r="92">
      <c r="A92" s="8" t="n"/>
      <c r="B92" s="9">
        <f>IF($A92="","",TEXT($A92,"ddd"))</f>
        <v/>
      </c>
      <c r="C92" s="4" t="n"/>
      <c r="D92" s="10" t="n"/>
      <c r="E92" s="11">
        <f>IF($C92="","",IFERROR(VLOOKUP($C92,TechRates,3,FALSE),0))</f>
        <v/>
      </c>
      <c r="F92" s="11">
        <f>IF(OR($A92="",$D92=""),"",CEILING($D92*$E92,RoundInc))</f>
        <v/>
      </c>
      <c r="G92" s="4" t="n"/>
      <c r="H92" s="9">
        <f>IF($A92="","",COUNTIF($A$2:$A92,$A92))</f>
        <v/>
      </c>
      <c r="I92" s="9">
        <f>IF($A92="","",TEXT($A92,"yyyy-mm-dd")&amp;"#"&amp;$H92)</f>
        <v/>
      </c>
    </row>
    <row r="93">
      <c r="A93" s="8" t="n"/>
      <c r="B93" s="9">
        <f>IF($A93="","",TEXT($A93,"ddd"))</f>
        <v/>
      </c>
      <c r="C93" s="4" t="n"/>
      <c r="D93" s="10" t="n"/>
      <c r="E93" s="11">
        <f>IF($C93="","",IFERROR(VLOOKUP($C93,TechRates,3,FALSE),0))</f>
        <v/>
      </c>
      <c r="F93" s="11">
        <f>IF(OR($A93="",$D93=""),"",CEILING($D93*$E93,RoundInc))</f>
        <v/>
      </c>
      <c r="G93" s="4" t="n"/>
      <c r="H93" s="9">
        <f>IF($A93="","",COUNTIF($A$2:$A93,$A93))</f>
        <v/>
      </c>
      <c r="I93" s="9">
        <f>IF($A93="","",TEXT($A93,"yyyy-mm-dd")&amp;"#"&amp;$H93)</f>
        <v/>
      </c>
    </row>
    <row r="94">
      <c r="A94" s="8" t="n"/>
      <c r="B94" s="9">
        <f>IF($A94="","",TEXT($A94,"ddd"))</f>
        <v/>
      </c>
      <c r="C94" s="4" t="n"/>
      <c r="D94" s="10" t="n"/>
      <c r="E94" s="11">
        <f>IF($C94="","",IFERROR(VLOOKUP($C94,TechRates,3,FALSE),0))</f>
        <v/>
      </c>
      <c r="F94" s="11">
        <f>IF(OR($A94="",$D94=""),"",CEILING($D94*$E94,RoundInc))</f>
        <v/>
      </c>
      <c r="G94" s="4" t="n"/>
      <c r="H94" s="9">
        <f>IF($A94="","",COUNTIF($A$2:$A94,$A94))</f>
        <v/>
      </c>
      <c r="I94" s="9">
        <f>IF($A94="","",TEXT($A94,"yyyy-mm-dd")&amp;"#"&amp;$H94)</f>
        <v/>
      </c>
    </row>
    <row r="95">
      <c r="A95" s="8" t="n"/>
      <c r="B95" s="9">
        <f>IF($A95="","",TEXT($A95,"ddd"))</f>
        <v/>
      </c>
      <c r="C95" s="4" t="n"/>
      <c r="D95" s="10" t="n"/>
      <c r="E95" s="11">
        <f>IF($C95="","",IFERROR(VLOOKUP($C95,TechRates,3,FALSE),0))</f>
        <v/>
      </c>
      <c r="F95" s="11">
        <f>IF(OR($A95="",$D95=""),"",CEILING($D95*$E95,RoundInc))</f>
        <v/>
      </c>
      <c r="G95" s="4" t="n"/>
      <c r="H95" s="9">
        <f>IF($A95="","",COUNTIF($A$2:$A95,$A95))</f>
        <v/>
      </c>
      <c r="I95" s="9">
        <f>IF($A95="","",TEXT($A95,"yyyy-mm-dd")&amp;"#"&amp;$H95)</f>
        <v/>
      </c>
    </row>
    <row r="96">
      <c r="A96" s="8" t="n"/>
      <c r="B96" s="9">
        <f>IF($A96="","",TEXT($A96,"ddd"))</f>
        <v/>
      </c>
      <c r="C96" s="4" t="n"/>
      <c r="D96" s="10" t="n"/>
      <c r="E96" s="11">
        <f>IF($C96="","",IFERROR(VLOOKUP($C96,TechRates,3,FALSE),0))</f>
        <v/>
      </c>
      <c r="F96" s="11">
        <f>IF(OR($A96="",$D96=""),"",CEILING($D96*$E96,RoundInc))</f>
        <v/>
      </c>
      <c r="G96" s="4" t="n"/>
      <c r="H96" s="9">
        <f>IF($A96="","",COUNTIF($A$2:$A96,$A96))</f>
        <v/>
      </c>
      <c r="I96" s="9">
        <f>IF($A96="","",TEXT($A96,"yyyy-mm-dd")&amp;"#"&amp;$H96)</f>
        <v/>
      </c>
    </row>
    <row r="97">
      <c r="A97" s="8" t="n"/>
      <c r="B97" s="9">
        <f>IF($A97="","",TEXT($A97,"ddd"))</f>
        <v/>
      </c>
      <c r="C97" s="4" t="n"/>
      <c r="D97" s="10" t="n"/>
      <c r="E97" s="11">
        <f>IF($C97="","",IFERROR(VLOOKUP($C97,TechRates,3,FALSE),0))</f>
        <v/>
      </c>
      <c r="F97" s="11">
        <f>IF(OR($A97="",$D97=""),"",CEILING($D97*$E97,RoundInc))</f>
        <v/>
      </c>
      <c r="G97" s="4" t="n"/>
      <c r="H97" s="9">
        <f>IF($A97="","",COUNTIF($A$2:$A97,$A97))</f>
        <v/>
      </c>
      <c r="I97" s="9">
        <f>IF($A97="","",TEXT($A97,"yyyy-mm-dd")&amp;"#"&amp;$H97)</f>
        <v/>
      </c>
    </row>
    <row r="98">
      <c r="A98" s="8" t="n"/>
      <c r="B98" s="9">
        <f>IF($A98="","",TEXT($A98,"ddd"))</f>
        <v/>
      </c>
      <c r="C98" s="4" t="n"/>
      <c r="D98" s="10" t="n"/>
      <c r="E98" s="11">
        <f>IF($C98="","",IFERROR(VLOOKUP($C98,TechRates,3,FALSE),0))</f>
        <v/>
      </c>
      <c r="F98" s="11">
        <f>IF(OR($A98="",$D98=""),"",CEILING($D98*$E98,RoundInc))</f>
        <v/>
      </c>
      <c r="G98" s="4" t="n"/>
      <c r="H98" s="9">
        <f>IF($A98="","",COUNTIF($A$2:$A98,$A98))</f>
        <v/>
      </c>
      <c r="I98" s="9">
        <f>IF($A98="","",TEXT($A98,"yyyy-mm-dd")&amp;"#"&amp;$H98)</f>
        <v/>
      </c>
    </row>
    <row r="99">
      <c r="A99" s="8" t="n"/>
      <c r="B99" s="9">
        <f>IF($A99="","",TEXT($A99,"ddd"))</f>
        <v/>
      </c>
      <c r="C99" s="4" t="n"/>
      <c r="D99" s="10" t="n"/>
      <c r="E99" s="11">
        <f>IF($C99="","",IFERROR(VLOOKUP($C99,TechRates,3,FALSE),0))</f>
        <v/>
      </c>
      <c r="F99" s="11">
        <f>IF(OR($A99="",$D99=""),"",CEILING($D99*$E99,RoundInc))</f>
        <v/>
      </c>
      <c r="G99" s="4" t="n"/>
      <c r="H99" s="9">
        <f>IF($A99="","",COUNTIF($A$2:$A99,$A99))</f>
        <v/>
      </c>
      <c r="I99" s="9">
        <f>IF($A99="","",TEXT($A99,"yyyy-mm-dd")&amp;"#"&amp;$H99)</f>
        <v/>
      </c>
    </row>
    <row r="100">
      <c r="A100" s="8" t="n"/>
      <c r="B100" s="9">
        <f>IF($A100="","",TEXT($A100,"ddd"))</f>
        <v/>
      </c>
      <c r="C100" s="4" t="n"/>
      <c r="D100" s="10" t="n"/>
      <c r="E100" s="11">
        <f>IF($C100="","",IFERROR(VLOOKUP($C100,TechRates,3,FALSE),0))</f>
        <v/>
      </c>
      <c r="F100" s="11">
        <f>IF(OR($A100="",$D100=""),"",CEILING($D100*$E100,RoundInc))</f>
        <v/>
      </c>
      <c r="G100" s="4" t="n"/>
      <c r="H100" s="9">
        <f>IF($A100="","",COUNTIF($A$2:$A100,$A100))</f>
        <v/>
      </c>
      <c r="I100" s="9">
        <f>IF($A100="","",TEXT($A100,"yyyy-mm-dd")&amp;"#"&amp;$H100)</f>
        <v/>
      </c>
    </row>
    <row r="101">
      <c r="A101" s="8" t="n"/>
      <c r="B101" s="9">
        <f>IF($A101="","",TEXT($A101,"ddd"))</f>
        <v/>
      </c>
      <c r="C101" s="4" t="n"/>
      <c r="D101" s="10" t="n"/>
      <c r="E101" s="11">
        <f>IF($C101="","",IFERROR(VLOOKUP($C101,TechRates,3,FALSE),0))</f>
        <v/>
      </c>
      <c r="F101" s="11">
        <f>IF(OR($A101="",$D101=""),"",CEILING($D101*$E101,RoundInc))</f>
        <v/>
      </c>
      <c r="G101" s="4" t="n"/>
      <c r="H101" s="9">
        <f>IF($A101="","",COUNTIF($A$2:$A101,$A101))</f>
        <v/>
      </c>
      <c r="I101" s="9">
        <f>IF($A101="","",TEXT($A101,"yyyy-mm-dd")&amp;"#"&amp;$H101)</f>
        <v/>
      </c>
    </row>
    <row r="102">
      <c r="A102" s="8" t="n"/>
      <c r="B102" s="9">
        <f>IF($A102="","",TEXT($A102,"ddd"))</f>
        <v/>
      </c>
      <c r="C102" s="4" t="n"/>
      <c r="D102" s="10" t="n"/>
      <c r="E102" s="11">
        <f>IF($C102="","",IFERROR(VLOOKUP($C102,TechRates,3,FALSE),0))</f>
        <v/>
      </c>
      <c r="F102" s="11">
        <f>IF(OR($A102="",$D102=""),"",CEILING($D102*$E102,RoundInc))</f>
        <v/>
      </c>
      <c r="G102" s="4" t="n"/>
      <c r="H102" s="9">
        <f>IF($A102="","",COUNTIF($A$2:$A102,$A102))</f>
        <v/>
      </c>
      <c r="I102" s="9">
        <f>IF($A102="","",TEXT($A102,"yyyy-mm-dd")&amp;"#"&amp;$H102)</f>
        <v/>
      </c>
    </row>
    <row r="103">
      <c r="A103" s="8" t="n"/>
      <c r="B103" s="9">
        <f>IF($A103="","",TEXT($A103,"ddd"))</f>
        <v/>
      </c>
      <c r="C103" s="4" t="n"/>
      <c r="D103" s="10" t="n"/>
      <c r="E103" s="11">
        <f>IF($C103="","",IFERROR(VLOOKUP($C103,TechRates,3,FALSE),0))</f>
        <v/>
      </c>
      <c r="F103" s="11">
        <f>IF(OR($A103="",$D103=""),"",CEILING($D103*$E103,RoundInc))</f>
        <v/>
      </c>
      <c r="G103" s="4" t="n"/>
      <c r="H103" s="9">
        <f>IF($A103="","",COUNTIF($A$2:$A103,$A103))</f>
        <v/>
      </c>
      <c r="I103" s="9">
        <f>IF($A103="","",TEXT($A103,"yyyy-mm-dd")&amp;"#"&amp;$H103)</f>
        <v/>
      </c>
    </row>
    <row r="104">
      <c r="A104" s="8" t="n"/>
      <c r="B104" s="9">
        <f>IF($A104="","",TEXT($A104,"ddd"))</f>
        <v/>
      </c>
      <c r="C104" s="4" t="n"/>
      <c r="D104" s="10" t="n"/>
      <c r="E104" s="11">
        <f>IF($C104="","",IFERROR(VLOOKUP($C104,TechRates,3,FALSE),0))</f>
        <v/>
      </c>
      <c r="F104" s="11">
        <f>IF(OR($A104="",$D104=""),"",CEILING($D104*$E104,RoundInc))</f>
        <v/>
      </c>
      <c r="G104" s="4" t="n"/>
      <c r="H104" s="9">
        <f>IF($A104="","",COUNTIF($A$2:$A104,$A104))</f>
        <v/>
      </c>
      <c r="I104" s="9">
        <f>IF($A104="","",TEXT($A104,"yyyy-mm-dd")&amp;"#"&amp;$H104)</f>
        <v/>
      </c>
    </row>
    <row r="105">
      <c r="A105" s="8" t="n"/>
      <c r="B105" s="9">
        <f>IF($A105="","",TEXT($A105,"ddd"))</f>
        <v/>
      </c>
      <c r="C105" s="4" t="n"/>
      <c r="D105" s="10" t="n"/>
      <c r="E105" s="11">
        <f>IF($C105="","",IFERROR(VLOOKUP($C105,TechRates,3,FALSE),0))</f>
        <v/>
      </c>
      <c r="F105" s="11">
        <f>IF(OR($A105="",$D105=""),"",CEILING($D105*$E105,RoundInc))</f>
        <v/>
      </c>
      <c r="G105" s="4" t="n"/>
      <c r="H105" s="9">
        <f>IF($A105="","",COUNTIF($A$2:$A105,$A105))</f>
        <v/>
      </c>
      <c r="I105" s="9">
        <f>IF($A105="","",TEXT($A105,"yyyy-mm-dd")&amp;"#"&amp;$H105)</f>
        <v/>
      </c>
    </row>
    <row r="106">
      <c r="A106" s="8" t="n"/>
      <c r="B106" s="9">
        <f>IF($A106="","",TEXT($A106,"ddd"))</f>
        <v/>
      </c>
      <c r="C106" s="4" t="n"/>
      <c r="D106" s="10" t="n"/>
      <c r="E106" s="11">
        <f>IF($C106="","",IFERROR(VLOOKUP($C106,TechRates,3,FALSE),0))</f>
        <v/>
      </c>
      <c r="F106" s="11">
        <f>IF(OR($A106="",$D106=""),"",CEILING($D106*$E106,RoundInc))</f>
        <v/>
      </c>
      <c r="G106" s="4" t="n"/>
      <c r="H106" s="9">
        <f>IF($A106="","",COUNTIF($A$2:$A106,$A106))</f>
        <v/>
      </c>
      <c r="I106" s="9">
        <f>IF($A106="","",TEXT($A106,"yyyy-mm-dd")&amp;"#"&amp;$H106)</f>
        <v/>
      </c>
    </row>
    <row r="107">
      <c r="A107" s="8" t="n"/>
      <c r="B107" s="9">
        <f>IF($A107="","",TEXT($A107,"ddd"))</f>
        <v/>
      </c>
      <c r="C107" s="4" t="n"/>
      <c r="D107" s="10" t="n"/>
      <c r="E107" s="11">
        <f>IF($C107="","",IFERROR(VLOOKUP($C107,TechRates,3,FALSE),0))</f>
        <v/>
      </c>
      <c r="F107" s="11">
        <f>IF(OR($A107="",$D107=""),"",CEILING($D107*$E107,RoundInc))</f>
        <v/>
      </c>
      <c r="G107" s="4" t="n"/>
      <c r="H107" s="9">
        <f>IF($A107="","",COUNTIF($A$2:$A107,$A107))</f>
        <v/>
      </c>
      <c r="I107" s="9">
        <f>IF($A107="","",TEXT($A107,"yyyy-mm-dd")&amp;"#"&amp;$H107)</f>
        <v/>
      </c>
    </row>
    <row r="108">
      <c r="A108" s="8" t="n"/>
      <c r="B108" s="9">
        <f>IF($A108="","",TEXT($A108,"ddd"))</f>
        <v/>
      </c>
      <c r="C108" s="4" t="n"/>
      <c r="D108" s="10" t="n"/>
      <c r="E108" s="11">
        <f>IF($C108="","",IFERROR(VLOOKUP($C108,TechRates,3,FALSE),0))</f>
        <v/>
      </c>
      <c r="F108" s="11">
        <f>IF(OR($A108="",$D108=""),"",CEILING($D108*$E108,RoundInc))</f>
        <v/>
      </c>
      <c r="G108" s="4" t="n"/>
      <c r="H108" s="9">
        <f>IF($A108="","",COUNTIF($A$2:$A108,$A108))</f>
        <v/>
      </c>
      <c r="I108" s="9">
        <f>IF($A108="","",TEXT($A108,"yyyy-mm-dd")&amp;"#"&amp;$H108)</f>
        <v/>
      </c>
    </row>
    <row r="109">
      <c r="A109" s="8" t="n"/>
      <c r="B109" s="9">
        <f>IF($A109="","",TEXT($A109,"ddd"))</f>
        <v/>
      </c>
      <c r="C109" s="4" t="n"/>
      <c r="D109" s="10" t="n"/>
      <c r="E109" s="11">
        <f>IF($C109="","",IFERROR(VLOOKUP($C109,TechRates,3,FALSE),0))</f>
        <v/>
      </c>
      <c r="F109" s="11">
        <f>IF(OR($A109="",$D109=""),"",CEILING($D109*$E109,RoundInc))</f>
        <v/>
      </c>
      <c r="G109" s="4" t="n"/>
      <c r="H109" s="9">
        <f>IF($A109="","",COUNTIF($A$2:$A109,$A109))</f>
        <v/>
      </c>
      <c r="I109" s="9">
        <f>IF($A109="","",TEXT($A109,"yyyy-mm-dd")&amp;"#"&amp;$H109)</f>
        <v/>
      </c>
    </row>
    <row r="110">
      <c r="A110" s="8" t="n"/>
      <c r="B110" s="9">
        <f>IF($A110="","",TEXT($A110,"ddd"))</f>
        <v/>
      </c>
      <c r="C110" s="4" t="n"/>
      <c r="D110" s="10" t="n"/>
      <c r="E110" s="11">
        <f>IF($C110="","",IFERROR(VLOOKUP($C110,TechRates,3,FALSE),0))</f>
        <v/>
      </c>
      <c r="F110" s="11">
        <f>IF(OR($A110="",$D110=""),"",CEILING($D110*$E110,RoundInc))</f>
        <v/>
      </c>
      <c r="G110" s="4" t="n"/>
      <c r="H110" s="9">
        <f>IF($A110="","",COUNTIF($A$2:$A110,$A110))</f>
        <v/>
      </c>
      <c r="I110" s="9">
        <f>IF($A110="","",TEXT($A110,"yyyy-mm-dd")&amp;"#"&amp;$H110)</f>
        <v/>
      </c>
    </row>
    <row r="111">
      <c r="A111" s="8" t="n"/>
      <c r="B111" s="9">
        <f>IF($A111="","",TEXT($A111,"ddd"))</f>
        <v/>
      </c>
      <c r="C111" s="4" t="n"/>
      <c r="D111" s="10" t="n"/>
      <c r="E111" s="11">
        <f>IF($C111="","",IFERROR(VLOOKUP($C111,TechRates,3,FALSE),0))</f>
        <v/>
      </c>
      <c r="F111" s="11">
        <f>IF(OR($A111="",$D111=""),"",CEILING($D111*$E111,RoundInc))</f>
        <v/>
      </c>
      <c r="G111" s="4" t="n"/>
      <c r="H111" s="9">
        <f>IF($A111="","",COUNTIF($A$2:$A111,$A111))</f>
        <v/>
      </c>
      <c r="I111" s="9">
        <f>IF($A111="","",TEXT($A111,"yyyy-mm-dd")&amp;"#"&amp;$H111)</f>
        <v/>
      </c>
    </row>
    <row r="112">
      <c r="A112" s="8" t="n"/>
      <c r="B112" s="9">
        <f>IF($A112="","",TEXT($A112,"ddd"))</f>
        <v/>
      </c>
      <c r="C112" s="4" t="n"/>
      <c r="D112" s="10" t="n"/>
      <c r="E112" s="11">
        <f>IF($C112="","",IFERROR(VLOOKUP($C112,TechRates,3,FALSE),0))</f>
        <v/>
      </c>
      <c r="F112" s="11">
        <f>IF(OR($A112="",$D112=""),"",CEILING($D112*$E112,RoundInc))</f>
        <v/>
      </c>
      <c r="G112" s="4" t="n"/>
      <c r="H112" s="9">
        <f>IF($A112="","",COUNTIF($A$2:$A112,$A112))</f>
        <v/>
      </c>
      <c r="I112" s="9">
        <f>IF($A112="","",TEXT($A112,"yyyy-mm-dd")&amp;"#"&amp;$H112)</f>
        <v/>
      </c>
    </row>
    <row r="113">
      <c r="A113" s="8" t="n"/>
      <c r="B113" s="9">
        <f>IF($A113="","",TEXT($A113,"ddd"))</f>
        <v/>
      </c>
      <c r="C113" s="4" t="n"/>
      <c r="D113" s="10" t="n"/>
      <c r="E113" s="11">
        <f>IF($C113="","",IFERROR(VLOOKUP($C113,TechRates,3,FALSE),0))</f>
        <v/>
      </c>
      <c r="F113" s="11">
        <f>IF(OR($A113="",$D113=""),"",CEILING($D113*$E113,RoundInc))</f>
        <v/>
      </c>
      <c r="G113" s="4" t="n"/>
      <c r="H113" s="9">
        <f>IF($A113="","",COUNTIF($A$2:$A113,$A113))</f>
        <v/>
      </c>
      <c r="I113" s="9">
        <f>IF($A113="","",TEXT($A113,"yyyy-mm-dd")&amp;"#"&amp;$H113)</f>
        <v/>
      </c>
    </row>
    <row r="114">
      <c r="A114" s="8" t="n"/>
      <c r="B114" s="9">
        <f>IF($A114="","",TEXT($A114,"ddd"))</f>
        <v/>
      </c>
      <c r="C114" s="4" t="n"/>
      <c r="D114" s="10" t="n"/>
      <c r="E114" s="11">
        <f>IF($C114="","",IFERROR(VLOOKUP($C114,TechRates,3,FALSE),0))</f>
        <v/>
      </c>
      <c r="F114" s="11">
        <f>IF(OR($A114="",$D114=""),"",CEILING($D114*$E114,RoundInc))</f>
        <v/>
      </c>
      <c r="G114" s="4" t="n"/>
      <c r="H114" s="9">
        <f>IF($A114="","",COUNTIF($A$2:$A114,$A114))</f>
        <v/>
      </c>
      <c r="I114" s="9">
        <f>IF($A114="","",TEXT($A114,"yyyy-mm-dd")&amp;"#"&amp;$H114)</f>
        <v/>
      </c>
    </row>
    <row r="115">
      <c r="A115" s="8" t="n"/>
      <c r="B115" s="9">
        <f>IF($A115="","",TEXT($A115,"ddd"))</f>
        <v/>
      </c>
      <c r="C115" s="4" t="n"/>
      <c r="D115" s="10" t="n"/>
      <c r="E115" s="11">
        <f>IF($C115="","",IFERROR(VLOOKUP($C115,TechRates,3,FALSE),0))</f>
        <v/>
      </c>
      <c r="F115" s="11">
        <f>IF(OR($A115="",$D115=""),"",CEILING($D115*$E115,RoundInc))</f>
        <v/>
      </c>
      <c r="G115" s="4" t="n"/>
      <c r="H115" s="9">
        <f>IF($A115="","",COUNTIF($A$2:$A115,$A115))</f>
        <v/>
      </c>
      <c r="I115" s="9">
        <f>IF($A115="","",TEXT($A115,"yyyy-mm-dd")&amp;"#"&amp;$H115)</f>
        <v/>
      </c>
    </row>
    <row r="116">
      <c r="A116" s="8" t="n"/>
      <c r="B116" s="9">
        <f>IF($A116="","",TEXT($A116,"ddd"))</f>
        <v/>
      </c>
      <c r="C116" s="4" t="n"/>
      <c r="D116" s="10" t="n"/>
      <c r="E116" s="11">
        <f>IF($C116="","",IFERROR(VLOOKUP($C116,TechRates,3,FALSE),0))</f>
        <v/>
      </c>
      <c r="F116" s="11">
        <f>IF(OR($A116="",$D116=""),"",CEILING($D116*$E116,RoundInc))</f>
        <v/>
      </c>
      <c r="G116" s="4" t="n"/>
      <c r="H116" s="9">
        <f>IF($A116="","",COUNTIF($A$2:$A116,$A116))</f>
        <v/>
      </c>
      <c r="I116" s="9">
        <f>IF($A116="","",TEXT($A116,"yyyy-mm-dd")&amp;"#"&amp;$H116)</f>
        <v/>
      </c>
    </row>
    <row r="117">
      <c r="A117" s="8" t="n"/>
      <c r="B117" s="9">
        <f>IF($A117="","",TEXT($A117,"ddd"))</f>
        <v/>
      </c>
      <c r="C117" s="4" t="n"/>
      <c r="D117" s="10" t="n"/>
      <c r="E117" s="11">
        <f>IF($C117="","",IFERROR(VLOOKUP($C117,TechRates,3,FALSE),0))</f>
        <v/>
      </c>
      <c r="F117" s="11">
        <f>IF(OR($A117="",$D117=""),"",CEILING($D117*$E117,RoundInc))</f>
        <v/>
      </c>
      <c r="G117" s="4" t="n"/>
      <c r="H117" s="9">
        <f>IF($A117="","",COUNTIF($A$2:$A117,$A117))</f>
        <v/>
      </c>
      <c r="I117" s="9">
        <f>IF($A117="","",TEXT($A117,"yyyy-mm-dd")&amp;"#"&amp;$H117)</f>
        <v/>
      </c>
    </row>
    <row r="118">
      <c r="A118" s="8" t="n"/>
      <c r="B118" s="9">
        <f>IF($A118="","",TEXT($A118,"ddd"))</f>
        <v/>
      </c>
      <c r="C118" s="4" t="n"/>
      <c r="D118" s="10" t="n"/>
      <c r="E118" s="11">
        <f>IF($C118="","",IFERROR(VLOOKUP($C118,TechRates,3,FALSE),0))</f>
        <v/>
      </c>
      <c r="F118" s="11">
        <f>IF(OR($A118="",$D118=""),"",CEILING($D118*$E118,RoundInc))</f>
        <v/>
      </c>
      <c r="G118" s="4" t="n"/>
      <c r="H118" s="9">
        <f>IF($A118="","",COUNTIF($A$2:$A118,$A118))</f>
        <v/>
      </c>
      <c r="I118" s="9">
        <f>IF($A118="","",TEXT($A118,"yyyy-mm-dd")&amp;"#"&amp;$H118)</f>
        <v/>
      </c>
    </row>
    <row r="119">
      <c r="A119" s="8" t="n"/>
      <c r="B119" s="9">
        <f>IF($A119="","",TEXT($A119,"ddd"))</f>
        <v/>
      </c>
      <c r="C119" s="4" t="n"/>
      <c r="D119" s="10" t="n"/>
      <c r="E119" s="11">
        <f>IF($C119="","",IFERROR(VLOOKUP($C119,TechRates,3,FALSE),0))</f>
        <v/>
      </c>
      <c r="F119" s="11">
        <f>IF(OR($A119="",$D119=""),"",CEILING($D119*$E119,RoundInc))</f>
        <v/>
      </c>
      <c r="G119" s="4" t="n"/>
      <c r="H119" s="9">
        <f>IF($A119="","",COUNTIF($A$2:$A119,$A119))</f>
        <v/>
      </c>
      <c r="I119" s="9">
        <f>IF($A119="","",TEXT($A119,"yyyy-mm-dd")&amp;"#"&amp;$H119)</f>
        <v/>
      </c>
    </row>
    <row r="120">
      <c r="A120" s="8" t="n"/>
      <c r="B120" s="9">
        <f>IF($A120="","",TEXT($A120,"ddd"))</f>
        <v/>
      </c>
      <c r="C120" s="4" t="n"/>
      <c r="D120" s="10" t="n"/>
      <c r="E120" s="11">
        <f>IF($C120="","",IFERROR(VLOOKUP($C120,TechRates,3,FALSE),0))</f>
        <v/>
      </c>
      <c r="F120" s="11">
        <f>IF(OR($A120="",$D120=""),"",CEILING($D120*$E120,RoundInc))</f>
        <v/>
      </c>
      <c r="G120" s="4" t="n"/>
      <c r="H120" s="9">
        <f>IF($A120="","",COUNTIF($A$2:$A120,$A120))</f>
        <v/>
      </c>
      <c r="I120" s="9">
        <f>IF($A120="","",TEXT($A120,"yyyy-mm-dd")&amp;"#"&amp;$H120)</f>
        <v/>
      </c>
    </row>
    <row r="121">
      <c r="A121" s="8" t="n"/>
      <c r="B121" s="9">
        <f>IF($A121="","",TEXT($A121,"ddd"))</f>
        <v/>
      </c>
      <c r="C121" s="4" t="n"/>
      <c r="D121" s="10" t="n"/>
      <c r="E121" s="11">
        <f>IF($C121="","",IFERROR(VLOOKUP($C121,TechRates,3,FALSE),0))</f>
        <v/>
      </c>
      <c r="F121" s="11">
        <f>IF(OR($A121="",$D121=""),"",CEILING($D121*$E121,RoundInc))</f>
        <v/>
      </c>
      <c r="G121" s="4" t="n"/>
      <c r="H121" s="9">
        <f>IF($A121="","",COUNTIF($A$2:$A121,$A121))</f>
        <v/>
      </c>
      <c r="I121" s="9">
        <f>IF($A121="","",TEXT($A121,"yyyy-mm-dd")&amp;"#"&amp;$H121)</f>
        <v/>
      </c>
    </row>
    <row r="122">
      <c r="A122" s="8" t="n"/>
      <c r="B122" s="9">
        <f>IF($A122="","",TEXT($A122,"ddd"))</f>
        <v/>
      </c>
      <c r="C122" s="4" t="n"/>
      <c r="D122" s="10" t="n"/>
      <c r="E122" s="11">
        <f>IF($C122="","",IFERROR(VLOOKUP($C122,TechRates,3,FALSE),0))</f>
        <v/>
      </c>
      <c r="F122" s="11">
        <f>IF(OR($A122="",$D122=""),"",CEILING($D122*$E122,RoundInc))</f>
        <v/>
      </c>
      <c r="G122" s="4" t="n"/>
      <c r="H122" s="9">
        <f>IF($A122="","",COUNTIF($A$2:$A122,$A122))</f>
        <v/>
      </c>
      <c r="I122" s="9">
        <f>IF($A122="","",TEXT($A122,"yyyy-mm-dd")&amp;"#"&amp;$H122)</f>
        <v/>
      </c>
    </row>
    <row r="123">
      <c r="A123" s="8" t="n"/>
      <c r="B123" s="9">
        <f>IF($A123="","",TEXT($A123,"ddd"))</f>
        <v/>
      </c>
      <c r="C123" s="4" t="n"/>
      <c r="D123" s="10" t="n"/>
      <c r="E123" s="11">
        <f>IF($C123="","",IFERROR(VLOOKUP($C123,TechRates,3,FALSE),0))</f>
        <v/>
      </c>
      <c r="F123" s="11">
        <f>IF(OR($A123="",$D123=""),"",CEILING($D123*$E123,RoundInc))</f>
        <v/>
      </c>
      <c r="G123" s="4" t="n"/>
      <c r="H123" s="9">
        <f>IF($A123="","",COUNTIF($A$2:$A123,$A123))</f>
        <v/>
      </c>
      <c r="I123" s="9">
        <f>IF($A123="","",TEXT($A123,"yyyy-mm-dd")&amp;"#"&amp;$H123)</f>
        <v/>
      </c>
    </row>
    <row r="124">
      <c r="A124" s="8" t="n"/>
      <c r="B124" s="9">
        <f>IF($A124="","",TEXT($A124,"ddd"))</f>
        <v/>
      </c>
      <c r="C124" s="4" t="n"/>
      <c r="D124" s="10" t="n"/>
      <c r="E124" s="11">
        <f>IF($C124="","",IFERROR(VLOOKUP($C124,TechRates,3,FALSE),0))</f>
        <v/>
      </c>
      <c r="F124" s="11">
        <f>IF(OR($A124="",$D124=""),"",CEILING($D124*$E124,RoundInc))</f>
        <v/>
      </c>
      <c r="G124" s="4" t="n"/>
      <c r="H124" s="9">
        <f>IF($A124="","",COUNTIF($A$2:$A124,$A124))</f>
        <v/>
      </c>
      <c r="I124" s="9">
        <f>IF($A124="","",TEXT($A124,"yyyy-mm-dd")&amp;"#"&amp;$H124)</f>
        <v/>
      </c>
    </row>
    <row r="125">
      <c r="A125" s="8" t="n"/>
      <c r="B125" s="9">
        <f>IF($A125="","",TEXT($A125,"ddd"))</f>
        <v/>
      </c>
      <c r="C125" s="4" t="n"/>
      <c r="D125" s="10" t="n"/>
      <c r="E125" s="11">
        <f>IF($C125="","",IFERROR(VLOOKUP($C125,TechRates,3,FALSE),0))</f>
        <v/>
      </c>
      <c r="F125" s="11">
        <f>IF(OR($A125="",$D125=""),"",CEILING($D125*$E125,RoundInc))</f>
        <v/>
      </c>
      <c r="G125" s="4" t="n"/>
      <c r="H125" s="9">
        <f>IF($A125="","",COUNTIF($A$2:$A125,$A125))</f>
        <v/>
      </c>
      <c r="I125" s="9">
        <f>IF($A125="","",TEXT($A125,"yyyy-mm-dd")&amp;"#"&amp;$H125)</f>
        <v/>
      </c>
    </row>
    <row r="126">
      <c r="A126" s="8" t="n"/>
      <c r="B126" s="9">
        <f>IF($A126="","",TEXT($A126,"ddd"))</f>
        <v/>
      </c>
      <c r="C126" s="4" t="n"/>
      <c r="D126" s="10" t="n"/>
      <c r="E126" s="11">
        <f>IF($C126="","",IFERROR(VLOOKUP($C126,TechRates,3,FALSE),0))</f>
        <v/>
      </c>
      <c r="F126" s="11">
        <f>IF(OR($A126="",$D126=""),"",CEILING($D126*$E126,RoundInc))</f>
        <v/>
      </c>
      <c r="G126" s="4" t="n"/>
      <c r="H126" s="9">
        <f>IF($A126="","",COUNTIF($A$2:$A126,$A126))</f>
        <v/>
      </c>
      <c r="I126" s="9">
        <f>IF($A126="","",TEXT($A126,"yyyy-mm-dd")&amp;"#"&amp;$H126)</f>
        <v/>
      </c>
    </row>
    <row r="127">
      <c r="A127" s="8" t="n"/>
      <c r="B127" s="9">
        <f>IF($A127="","",TEXT($A127,"ddd"))</f>
        <v/>
      </c>
      <c r="C127" s="4" t="n"/>
      <c r="D127" s="10" t="n"/>
      <c r="E127" s="11">
        <f>IF($C127="","",IFERROR(VLOOKUP($C127,TechRates,3,FALSE),0))</f>
        <v/>
      </c>
      <c r="F127" s="11">
        <f>IF(OR($A127="",$D127=""),"",CEILING($D127*$E127,RoundInc))</f>
        <v/>
      </c>
      <c r="G127" s="4" t="n"/>
      <c r="H127" s="9">
        <f>IF($A127="","",COUNTIF($A$2:$A127,$A127))</f>
        <v/>
      </c>
      <c r="I127" s="9">
        <f>IF($A127="","",TEXT($A127,"yyyy-mm-dd")&amp;"#"&amp;$H127)</f>
        <v/>
      </c>
    </row>
    <row r="128">
      <c r="A128" s="8" t="n"/>
      <c r="B128" s="9">
        <f>IF($A128="","",TEXT($A128,"ddd"))</f>
        <v/>
      </c>
      <c r="C128" s="4" t="n"/>
      <c r="D128" s="10" t="n"/>
      <c r="E128" s="11">
        <f>IF($C128="","",IFERROR(VLOOKUP($C128,TechRates,3,FALSE),0))</f>
        <v/>
      </c>
      <c r="F128" s="11">
        <f>IF(OR($A128="",$D128=""),"",CEILING($D128*$E128,RoundInc))</f>
        <v/>
      </c>
      <c r="G128" s="4" t="n"/>
      <c r="H128" s="9">
        <f>IF($A128="","",COUNTIF($A$2:$A128,$A128))</f>
        <v/>
      </c>
      <c r="I128" s="9">
        <f>IF($A128="","",TEXT($A128,"yyyy-mm-dd")&amp;"#"&amp;$H128)</f>
        <v/>
      </c>
    </row>
    <row r="129">
      <c r="A129" s="8" t="n"/>
      <c r="B129" s="9">
        <f>IF($A129="","",TEXT($A129,"ddd"))</f>
        <v/>
      </c>
      <c r="C129" s="4" t="n"/>
      <c r="D129" s="10" t="n"/>
      <c r="E129" s="11">
        <f>IF($C129="","",IFERROR(VLOOKUP($C129,TechRates,3,FALSE),0))</f>
        <v/>
      </c>
      <c r="F129" s="11">
        <f>IF(OR($A129="",$D129=""),"",CEILING($D129*$E129,RoundInc))</f>
        <v/>
      </c>
      <c r="G129" s="4" t="n"/>
      <c r="H129" s="9">
        <f>IF($A129="","",COUNTIF($A$2:$A129,$A129))</f>
        <v/>
      </c>
      <c r="I129" s="9">
        <f>IF($A129="","",TEXT($A129,"yyyy-mm-dd")&amp;"#"&amp;$H129)</f>
        <v/>
      </c>
    </row>
    <row r="130">
      <c r="A130" s="8" t="n"/>
      <c r="B130" s="9">
        <f>IF($A130="","",TEXT($A130,"ddd"))</f>
        <v/>
      </c>
      <c r="C130" s="4" t="n"/>
      <c r="D130" s="10" t="n"/>
      <c r="E130" s="11">
        <f>IF($C130="","",IFERROR(VLOOKUP($C130,TechRates,3,FALSE),0))</f>
        <v/>
      </c>
      <c r="F130" s="11">
        <f>IF(OR($A130="",$D130=""),"",CEILING($D130*$E130,RoundInc))</f>
        <v/>
      </c>
      <c r="G130" s="4" t="n"/>
      <c r="H130" s="9">
        <f>IF($A130="","",COUNTIF($A$2:$A130,$A130))</f>
        <v/>
      </c>
      <c r="I130" s="9">
        <f>IF($A130="","",TEXT($A130,"yyyy-mm-dd")&amp;"#"&amp;$H130)</f>
        <v/>
      </c>
    </row>
    <row r="131">
      <c r="A131" s="8" t="n"/>
      <c r="B131" s="9">
        <f>IF($A131="","",TEXT($A131,"ddd"))</f>
        <v/>
      </c>
      <c r="C131" s="4" t="n"/>
      <c r="D131" s="10" t="n"/>
      <c r="E131" s="11">
        <f>IF($C131="","",IFERROR(VLOOKUP($C131,TechRates,3,FALSE),0))</f>
        <v/>
      </c>
      <c r="F131" s="11">
        <f>IF(OR($A131="",$D131=""),"",CEILING($D131*$E131,RoundInc))</f>
        <v/>
      </c>
      <c r="G131" s="4" t="n"/>
      <c r="H131" s="9">
        <f>IF($A131="","",COUNTIF($A$2:$A131,$A131))</f>
        <v/>
      </c>
      <c r="I131" s="9">
        <f>IF($A131="","",TEXT($A131,"yyyy-mm-dd")&amp;"#"&amp;$H131)</f>
        <v/>
      </c>
    </row>
    <row r="132">
      <c r="A132" s="8" t="n"/>
      <c r="B132" s="9">
        <f>IF($A132="","",TEXT($A132,"ddd"))</f>
        <v/>
      </c>
      <c r="C132" s="4" t="n"/>
      <c r="D132" s="10" t="n"/>
      <c r="E132" s="11">
        <f>IF($C132="","",IFERROR(VLOOKUP($C132,TechRates,3,FALSE),0))</f>
        <v/>
      </c>
      <c r="F132" s="11">
        <f>IF(OR($A132="",$D132=""),"",CEILING($D132*$E132,RoundInc))</f>
        <v/>
      </c>
      <c r="G132" s="4" t="n"/>
      <c r="H132" s="9">
        <f>IF($A132="","",COUNTIF($A$2:$A132,$A132))</f>
        <v/>
      </c>
      <c r="I132" s="9">
        <f>IF($A132="","",TEXT($A132,"yyyy-mm-dd")&amp;"#"&amp;$H132)</f>
        <v/>
      </c>
    </row>
    <row r="133">
      <c r="A133" s="8" t="n"/>
      <c r="B133" s="9">
        <f>IF($A133="","",TEXT($A133,"ddd"))</f>
        <v/>
      </c>
      <c r="C133" s="4" t="n"/>
      <c r="D133" s="10" t="n"/>
      <c r="E133" s="11">
        <f>IF($C133="","",IFERROR(VLOOKUP($C133,TechRates,3,FALSE),0))</f>
        <v/>
      </c>
      <c r="F133" s="11">
        <f>IF(OR($A133="",$D133=""),"",CEILING($D133*$E133,RoundInc))</f>
        <v/>
      </c>
      <c r="G133" s="4" t="n"/>
      <c r="H133" s="9">
        <f>IF($A133="","",COUNTIF($A$2:$A133,$A133))</f>
        <v/>
      </c>
      <c r="I133" s="9">
        <f>IF($A133="","",TEXT($A133,"yyyy-mm-dd")&amp;"#"&amp;$H133)</f>
        <v/>
      </c>
    </row>
    <row r="134">
      <c r="A134" s="8" t="n"/>
      <c r="B134" s="9">
        <f>IF($A134="","",TEXT($A134,"ddd"))</f>
        <v/>
      </c>
      <c r="C134" s="4" t="n"/>
      <c r="D134" s="10" t="n"/>
      <c r="E134" s="11">
        <f>IF($C134="","",IFERROR(VLOOKUP($C134,TechRates,3,FALSE),0))</f>
        <v/>
      </c>
      <c r="F134" s="11">
        <f>IF(OR($A134="",$D134=""),"",CEILING($D134*$E134,RoundInc))</f>
        <v/>
      </c>
      <c r="G134" s="4" t="n"/>
      <c r="H134" s="9">
        <f>IF($A134="","",COUNTIF($A$2:$A134,$A134))</f>
        <v/>
      </c>
      <c r="I134" s="9">
        <f>IF($A134="","",TEXT($A134,"yyyy-mm-dd")&amp;"#"&amp;$H134)</f>
        <v/>
      </c>
    </row>
    <row r="135">
      <c r="A135" s="8" t="n"/>
      <c r="B135" s="9">
        <f>IF($A135="","",TEXT($A135,"ddd"))</f>
        <v/>
      </c>
      <c r="C135" s="4" t="n"/>
      <c r="D135" s="10" t="n"/>
      <c r="E135" s="11">
        <f>IF($C135="","",IFERROR(VLOOKUP($C135,TechRates,3,FALSE),0))</f>
        <v/>
      </c>
      <c r="F135" s="11">
        <f>IF(OR($A135="",$D135=""),"",CEILING($D135*$E135,RoundInc))</f>
        <v/>
      </c>
      <c r="G135" s="4" t="n"/>
      <c r="H135" s="9">
        <f>IF($A135="","",COUNTIF($A$2:$A135,$A135))</f>
        <v/>
      </c>
      <c r="I135" s="9">
        <f>IF($A135="","",TEXT($A135,"yyyy-mm-dd")&amp;"#"&amp;$H135)</f>
        <v/>
      </c>
    </row>
    <row r="136">
      <c r="A136" s="8" t="n"/>
      <c r="B136" s="9">
        <f>IF($A136="","",TEXT($A136,"ddd"))</f>
        <v/>
      </c>
      <c r="C136" s="4" t="n"/>
      <c r="D136" s="10" t="n"/>
      <c r="E136" s="11">
        <f>IF($C136="","",IFERROR(VLOOKUP($C136,TechRates,3,FALSE),0))</f>
        <v/>
      </c>
      <c r="F136" s="11">
        <f>IF(OR($A136="",$D136=""),"",CEILING($D136*$E136,RoundInc))</f>
        <v/>
      </c>
      <c r="G136" s="4" t="n"/>
      <c r="H136" s="9">
        <f>IF($A136="","",COUNTIF($A$2:$A136,$A136))</f>
        <v/>
      </c>
      <c r="I136" s="9">
        <f>IF($A136="","",TEXT($A136,"yyyy-mm-dd")&amp;"#"&amp;$H136)</f>
        <v/>
      </c>
    </row>
    <row r="137">
      <c r="A137" s="8" t="n"/>
      <c r="B137" s="9">
        <f>IF($A137="","",TEXT($A137,"ddd"))</f>
        <v/>
      </c>
      <c r="C137" s="4" t="n"/>
      <c r="D137" s="10" t="n"/>
      <c r="E137" s="11">
        <f>IF($C137="","",IFERROR(VLOOKUP($C137,TechRates,3,FALSE),0))</f>
        <v/>
      </c>
      <c r="F137" s="11">
        <f>IF(OR($A137="",$D137=""),"",CEILING($D137*$E137,RoundInc))</f>
        <v/>
      </c>
      <c r="G137" s="4" t="n"/>
      <c r="H137" s="9">
        <f>IF($A137="","",COUNTIF($A$2:$A137,$A137))</f>
        <v/>
      </c>
      <c r="I137" s="9">
        <f>IF($A137="","",TEXT($A137,"yyyy-mm-dd")&amp;"#"&amp;$H137)</f>
        <v/>
      </c>
    </row>
    <row r="138">
      <c r="A138" s="8" t="n"/>
      <c r="B138" s="9">
        <f>IF($A138="","",TEXT($A138,"ddd"))</f>
        <v/>
      </c>
      <c r="C138" s="4" t="n"/>
      <c r="D138" s="10" t="n"/>
      <c r="E138" s="11">
        <f>IF($C138="","",IFERROR(VLOOKUP($C138,TechRates,3,FALSE),0))</f>
        <v/>
      </c>
      <c r="F138" s="11">
        <f>IF(OR($A138="",$D138=""),"",CEILING($D138*$E138,RoundInc))</f>
        <v/>
      </c>
      <c r="G138" s="4" t="n"/>
      <c r="H138" s="9">
        <f>IF($A138="","",COUNTIF($A$2:$A138,$A138))</f>
        <v/>
      </c>
      <c r="I138" s="9">
        <f>IF($A138="","",TEXT($A138,"yyyy-mm-dd")&amp;"#"&amp;$H138)</f>
        <v/>
      </c>
    </row>
    <row r="139">
      <c r="A139" s="8" t="n"/>
      <c r="B139" s="9">
        <f>IF($A139="","",TEXT($A139,"ddd"))</f>
        <v/>
      </c>
      <c r="C139" s="4" t="n"/>
      <c r="D139" s="10" t="n"/>
      <c r="E139" s="11">
        <f>IF($C139="","",IFERROR(VLOOKUP($C139,TechRates,3,FALSE),0))</f>
        <v/>
      </c>
      <c r="F139" s="11">
        <f>IF(OR($A139="",$D139=""),"",CEILING($D139*$E139,RoundInc))</f>
        <v/>
      </c>
      <c r="G139" s="4" t="n"/>
      <c r="H139" s="9">
        <f>IF($A139="","",COUNTIF($A$2:$A139,$A139))</f>
        <v/>
      </c>
      <c r="I139" s="9">
        <f>IF($A139="","",TEXT($A139,"yyyy-mm-dd")&amp;"#"&amp;$H139)</f>
        <v/>
      </c>
    </row>
    <row r="140">
      <c r="A140" s="8" t="n"/>
      <c r="B140" s="9">
        <f>IF($A140="","",TEXT($A140,"ddd"))</f>
        <v/>
      </c>
      <c r="C140" s="4" t="n"/>
      <c r="D140" s="10" t="n"/>
      <c r="E140" s="11">
        <f>IF($C140="","",IFERROR(VLOOKUP($C140,TechRates,3,FALSE),0))</f>
        <v/>
      </c>
      <c r="F140" s="11">
        <f>IF(OR($A140="",$D140=""),"",CEILING($D140*$E140,RoundInc))</f>
        <v/>
      </c>
      <c r="G140" s="4" t="n"/>
      <c r="H140" s="9">
        <f>IF($A140="","",COUNTIF($A$2:$A140,$A140))</f>
        <v/>
      </c>
      <c r="I140" s="9">
        <f>IF($A140="","",TEXT($A140,"yyyy-mm-dd")&amp;"#"&amp;$H140)</f>
        <v/>
      </c>
    </row>
    <row r="141">
      <c r="A141" s="8" t="n"/>
      <c r="B141" s="9">
        <f>IF($A141="","",TEXT($A141,"ddd"))</f>
        <v/>
      </c>
      <c r="C141" s="4" t="n"/>
      <c r="D141" s="10" t="n"/>
      <c r="E141" s="11">
        <f>IF($C141="","",IFERROR(VLOOKUP($C141,TechRates,3,FALSE),0))</f>
        <v/>
      </c>
      <c r="F141" s="11">
        <f>IF(OR($A141="",$D141=""),"",CEILING($D141*$E141,RoundInc))</f>
        <v/>
      </c>
      <c r="G141" s="4" t="n"/>
      <c r="H141" s="9">
        <f>IF($A141="","",COUNTIF($A$2:$A141,$A141))</f>
        <v/>
      </c>
      <c r="I141" s="9">
        <f>IF($A141="","",TEXT($A141,"yyyy-mm-dd")&amp;"#"&amp;$H141)</f>
        <v/>
      </c>
    </row>
    <row r="142">
      <c r="A142" s="8" t="n"/>
      <c r="B142" s="9">
        <f>IF($A142="","",TEXT($A142,"ddd"))</f>
        <v/>
      </c>
      <c r="C142" s="4" t="n"/>
      <c r="D142" s="10" t="n"/>
      <c r="E142" s="11">
        <f>IF($C142="","",IFERROR(VLOOKUP($C142,TechRates,3,FALSE),0))</f>
        <v/>
      </c>
      <c r="F142" s="11">
        <f>IF(OR($A142="",$D142=""),"",CEILING($D142*$E142,RoundInc))</f>
        <v/>
      </c>
      <c r="G142" s="4" t="n"/>
      <c r="H142" s="9">
        <f>IF($A142="","",COUNTIF($A$2:$A142,$A142))</f>
        <v/>
      </c>
      <c r="I142" s="9">
        <f>IF($A142="","",TEXT($A142,"yyyy-mm-dd")&amp;"#"&amp;$H142)</f>
        <v/>
      </c>
    </row>
    <row r="143">
      <c r="A143" s="8" t="n"/>
      <c r="B143" s="9">
        <f>IF($A143="","",TEXT($A143,"ddd"))</f>
        <v/>
      </c>
      <c r="C143" s="4" t="n"/>
      <c r="D143" s="10" t="n"/>
      <c r="E143" s="11">
        <f>IF($C143="","",IFERROR(VLOOKUP($C143,TechRates,3,FALSE),0))</f>
        <v/>
      </c>
      <c r="F143" s="11">
        <f>IF(OR($A143="",$D143=""),"",CEILING($D143*$E143,RoundInc))</f>
        <v/>
      </c>
      <c r="G143" s="4" t="n"/>
      <c r="H143" s="9">
        <f>IF($A143="","",COUNTIF($A$2:$A143,$A143))</f>
        <v/>
      </c>
      <c r="I143" s="9">
        <f>IF($A143="","",TEXT($A143,"yyyy-mm-dd")&amp;"#"&amp;$H143)</f>
        <v/>
      </c>
    </row>
    <row r="144">
      <c r="A144" s="8" t="n"/>
      <c r="B144" s="9">
        <f>IF($A144="","",TEXT($A144,"ddd"))</f>
        <v/>
      </c>
      <c r="C144" s="4" t="n"/>
      <c r="D144" s="10" t="n"/>
      <c r="E144" s="11">
        <f>IF($C144="","",IFERROR(VLOOKUP($C144,TechRates,3,FALSE),0))</f>
        <v/>
      </c>
      <c r="F144" s="11">
        <f>IF(OR($A144="",$D144=""),"",CEILING($D144*$E144,RoundInc))</f>
        <v/>
      </c>
      <c r="G144" s="4" t="n"/>
      <c r="H144" s="9">
        <f>IF($A144="","",COUNTIF($A$2:$A144,$A144))</f>
        <v/>
      </c>
      <c r="I144" s="9">
        <f>IF($A144="","",TEXT($A144,"yyyy-mm-dd")&amp;"#"&amp;$H144)</f>
        <v/>
      </c>
    </row>
    <row r="145">
      <c r="A145" s="8" t="n"/>
      <c r="B145" s="9">
        <f>IF($A145="","",TEXT($A145,"ddd"))</f>
        <v/>
      </c>
      <c r="C145" s="4" t="n"/>
      <c r="D145" s="10" t="n"/>
      <c r="E145" s="11">
        <f>IF($C145="","",IFERROR(VLOOKUP($C145,TechRates,3,FALSE),0))</f>
        <v/>
      </c>
      <c r="F145" s="11">
        <f>IF(OR($A145="",$D145=""),"",CEILING($D145*$E145,RoundInc))</f>
        <v/>
      </c>
      <c r="G145" s="4" t="n"/>
      <c r="H145" s="9">
        <f>IF($A145="","",COUNTIF($A$2:$A145,$A145))</f>
        <v/>
      </c>
      <c r="I145" s="9">
        <f>IF($A145="","",TEXT($A145,"yyyy-mm-dd")&amp;"#"&amp;$H145)</f>
        <v/>
      </c>
    </row>
    <row r="146">
      <c r="A146" s="8" t="n"/>
      <c r="B146" s="9">
        <f>IF($A146="","",TEXT($A146,"ddd"))</f>
        <v/>
      </c>
      <c r="C146" s="4" t="n"/>
      <c r="D146" s="10" t="n"/>
      <c r="E146" s="11">
        <f>IF($C146="","",IFERROR(VLOOKUP($C146,TechRates,3,FALSE),0))</f>
        <v/>
      </c>
      <c r="F146" s="11">
        <f>IF(OR($A146="",$D146=""),"",CEILING($D146*$E146,RoundInc))</f>
        <v/>
      </c>
      <c r="G146" s="4" t="n"/>
      <c r="H146" s="9">
        <f>IF($A146="","",COUNTIF($A$2:$A146,$A146))</f>
        <v/>
      </c>
      <c r="I146" s="9">
        <f>IF($A146="","",TEXT($A146,"yyyy-mm-dd")&amp;"#"&amp;$H146)</f>
        <v/>
      </c>
    </row>
    <row r="147">
      <c r="A147" s="8" t="n"/>
      <c r="B147" s="9">
        <f>IF($A147="","",TEXT($A147,"ddd"))</f>
        <v/>
      </c>
      <c r="C147" s="4" t="n"/>
      <c r="D147" s="10" t="n"/>
      <c r="E147" s="11">
        <f>IF($C147="","",IFERROR(VLOOKUP($C147,TechRates,3,FALSE),0))</f>
        <v/>
      </c>
      <c r="F147" s="11">
        <f>IF(OR($A147="",$D147=""),"",CEILING($D147*$E147,RoundInc))</f>
        <v/>
      </c>
      <c r="G147" s="4" t="n"/>
      <c r="H147" s="9">
        <f>IF($A147="","",COUNTIF($A$2:$A147,$A147))</f>
        <v/>
      </c>
      <c r="I147" s="9">
        <f>IF($A147="","",TEXT($A147,"yyyy-mm-dd")&amp;"#"&amp;$H147)</f>
        <v/>
      </c>
    </row>
    <row r="148">
      <c r="A148" s="8" t="n"/>
      <c r="B148" s="9">
        <f>IF($A148="","",TEXT($A148,"ddd"))</f>
        <v/>
      </c>
      <c r="C148" s="4" t="n"/>
      <c r="D148" s="10" t="n"/>
      <c r="E148" s="11">
        <f>IF($C148="","",IFERROR(VLOOKUP($C148,TechRates,3,FALSE),0))</f>
        <v/>
      </c>
      <c r="F148" s="11">
        <f>IF(OR($A148="",$D148=""),"",CEILING($D148*$E148,RoundInc))</f>
        <v/>
      </c>
      <c r="G148" s="4" t="n"/>
      <c r="H148" s="9">
        <f>IF($A148="","",COUNTIF($A$2:$A148,$A148))</f>
        <v/>
      </c>
      <c r="I148" s="9">
        <f>IF($A148="","",TEXT($A148,"yyyy-mm-dd")&amp;"#"&amp;$H148)</f>
        <v/>
      </c>
    </row>
    <row r="149">
      <c r="A149" s="8" t="n"/>
      <c r="B149" s="9">
        <f>IF($A149="","",TEXT($A149,"ddd"))</f>
        <v/>
      </c>
      <c r="C149" s="4" t="n"/>
      <c r="D149" s="10" t="n"/>
      <c r="E149" s="11">
        <f>IF($C149="","",IFERROR(VLOOKUP($C149,TechRates,3,FALSE),0))</f>
        <v/>
      </c>
      <c r="F149" s="11">
        <f>IF(OR($A149="",$D149=""),"",CEILING($D149*$E149,RoundInc))</f>
        <v/>
      </c>
      <c r="G149" s="4" t="n"/>
      <c r="H149" s="9">
        <f>IF($A149="","",COUNTIF($A$2:$A149,$A149))</f>
        <v/>
      </c>
      <c r="I149" s="9">
        <f>IF($A149="","",TEXT($A149,"yyyy-mm-dd")&amp;"#"&amp;$H149)</f>
        <v/>
      </c>
    </row>
    <row r="150">
      <c r="A150" s="8" t="n"/>
      <c r="B150" s="9">
        <f>IF($A150="","",TEXT($A150,"ddd"))</f>
        <v/>
      </c>
      <c r="C150" s="4" t="n"/>
      <c r="D150" s="10" t="n"/>
      <c r="E150" s="11">
        <f>IF($C150="","",IFERROR(VLOOKUP($C150,TechRates,3,FALSE),0))</f>
        <v/>
      </c>
      <c r="F150" s="11">
        <f>IF(OR($A150="",$D150=""),"",CEILING($D150*$E150,RoundInc))</f>
        <v/>
      </c>
      <c r="G150" s="4" t="n"/>
      <c r="H150" s="9">
        <f>IF($A150="","",COUNTIF($A$2:$A150,$A150))</f>
        <v/>
      </c>
      <c r="I150" s="9">
        <f>IF($A150="","",TEXT($A150,"yyyy-mm-dd")&amp;"#"&amp;$H150)</f>
        <v/>
      </c>
    </row>
    <row r="151">
      <c r="A151" s="8" t="n"/>
      <c r="B151" s="9">
        <f>IF($A151="","",TEXT($A151,"ddd"))</f>
        <v/>
      </c>
      <c r="C151" s="4" t="n"/>
      <c r="D151" s="10" t="n"/>
      <c r="E151" s="11">
        <f>IF($C151="","",IFERROR(VLOOKUP($C151,TechRates,3,FALSE),0))</f>
        <v/>
      </c>
      <c r="F151" s="11">
        <f>IF(OR($A151="",$D151=""),"",CEILING($D151*$E151,RoundInc))</f>
        <v/>
      </c>
      <c r="G151" s="4" t="n"/>
      <c r="H151" s="9">
        <f>IF($A151="","",COUNTIF($A$2:$A151,$A151))</f>
        <v/>
      </c>
      <c r="I151" s="9">
        <f>IF($A151="","",TEXT($A151,"yyyy-mm-dd")&amp;"#"&amp;$H151)</f>
        <v/>
      </c>
    </row>
    <row r="152">
      <c r="A152" s="8" t="n"/>
      <c r="B152" s="9">
        <f>IF($A152="","",TEXT($A152,"ddd"))</f>
        <v/>
      </c>
      <c r="C152" s="4" t="n"/>
      <c r="D152" s="10" t="n"/>
      <c r="E152" s="11">
        <f>IF($C152="","",IFERROR(VLOOKUP($C152,TechRates,3,FALSE),0))</f>
        <v/>
      </c>
      <c r="F152" s="11">
        <f>IF(OR($A152="",$D152=""),"",CEILING($D152*$E152,RoundInc))</f>
        <v/>
      </c>
      <c r="G152" s="4" t="n"/>
      <c r="H152" s="9">
        <f>IF($A152="","",COUNTIF($A$2:$A152,$A152))</f>
        <v/>
      </c>
      <c r="I152" s="9">
        <f>IF($A152="","",TEXT($A152,"yyyy-mm-dd")&amp;"#"&amp;$H152)</f>
        <v/>
      </c>
    </row>
    <row r="153">
      <c r="A153" s="8" t="n"/>
      <c r="B153" s="9">
        <f>IF($A153="","",TEXT($A153,"ddd"))</f>
        <v/>
      </c>
      <c r="C153" s="4" t="n"/>
      <c r="D153" s="10" t="n"/>
      <c r="E153" s="11">
        <f>IF($C153="","",IFERROR(VLOOKUP($C153,TechRates,3,FALSE),0))</f>
        <v/>
      </c>
      <c r="F153" s="11">
        <f>IF(OR($A153="",$D153=""),"",CEILING($D153*$E153,RoundInc))</f>
        <v/>
      </c>
      <c r="G153" s="4" t="n"/>
      <c r="H153" s="9">
        <f>IF($A153="","",COUNTIF($A$2:$A153,$A153))</f>
        <v/>
      </c>
      <c r="I153" s="9">
        <f>IF($A153="","",TEXT($A153,"yyyy-mm-dd")&amp;"#"&amp;$H153)</f>
        <v/>
      </c>
    </row>
    <row r="154">
      <c r="A154" s="8" t="n"/>
      <c r="B154" s="9">
        <f>IF($A154="","",TEXT($A154,"ddd"))</f>
        <v/>
      </c>
      <c r="C154" s="4" t="n"/>
      <c r="D154" s="10" t="n"/>
      <c r="E154" s="11">
        <f>IF($C154="","",IFERROR(VLOOKUP($C154,TechRates,3,FALSE),0))</f>
        <v/>
      </c>
      <c r="F154" s="11">
        <f>IF(OR($A154="",$D154=""),"",CEILING($D154*$E154,RoundInc))</f>
        <v/>
      </c>
      <c r="G154" s="4" t="n"/>
      <c r="H154" s="9">
        <f>IF($A154="","",COUNTIF($A$2:$A154,$A154))</f>
        <v/>
      </c>
      <c r="I154" s="9">
        <f>IF($A154="","",TEXT($A154,"yyyy-mm-dd")&amp;"#"&amp;$H154)</f>
        <v/>
      </c>
    </row>
    <row r="155">
      <c r="A155" s="8" t="n"/>
      <c r="B155" s="9">
        <f>IF($A155="","",TEXT($A155,"ddd"))</f>
        <v/>
      </c>
      <c r="C155" s="4" t="n"/>
      <c r="D155" s="10" t="n"/>
      <c r="E155" s="11">
        <f>IF($C155="","",IFERROR(VLOOKUP($C155,TechRates,3,FALSE),0))</f>
        <v/>
      </c>
      <c r="F155" s="11">
        <f>IF(OR($A155="",$D155=""),"",CEILING($D155*$E155,RoundInc))</f>
        <v/>
      </c>
      <c r="G155" s="4" t="n"/>
      <c r="H155" s="9">
        <f>IF($A155="","",COUNTIF($A$2:$A155,$A155))</f>
        <v/>
      </c>
      <c r="I155" s="9">
        <f>IF($A155="","",TEXT($A155,"yyyy-mm-dd")&amp;"#"&amp;$H155)</f>
        <v/>
      </c>
    </row>
    <row r="156">
      <c r="A156" s="8" t="n"/>
      <c r="B156" s="9">
        <f>IF($A156="","",TEXT($A156,"ddd"))</f>
        <v/>
      </c>
      <c r="C156" s="4" t="n"/>
      <c r="D156" s="10" t="n"/>
      <c r="E156" s="11">
        <f>IF($C156="","",IFERROR(VLOOKUP($C156,TechRates,3,FALSE),0))</f>
        <v/>
      </c>
      <c r="F156" s="11">
        <f>IF(OR($A156="",$D156=""),"",CEILING($D156*$E156,RoundInc))</f>
        <v/>
      </c>
      <c r="G156" s="4" t="n"/>
      <c r="H156" s="9">
        <f>IF($A156="","",COUNTIF($A$2:$A156,$A156))</f>
        <v/>
      </c>
      <c r="I156" s="9">
        <f>IF($A156="","",TEXT($A156,"yyyy-mm-dd")&amp;"#"&amp;$H156)</f>
        <v/>
      </c>
    </row>
    <row r="157">
      <c r="A157" s="8" t="n"/>
      <c r="B157" s="9">
        <f>IF($A157="","",TEXT($A157,"ddd"))</f>
        <v/>
      </c>
      <c r="C157" s="4" t="n"/>
      <c r="D157" s="10" t="n"/>
      <c r="E157" s="11">
        <f>IF($C157="","",IFERROR(VLOOKUP($C157,TechRates,3,FALSE),0))</f>
        <v/>
      </c>
      <c r="F157" s="11">
        <f>IF(OR($A157="",$D157=""),"",CEILING($D157*$E157,RoundInc))</f>
        <v/>
      </c>
      <c r="G157" s="4" t="n"/>
      <c r="H157" s="9">
        <f>IF($A157="","",COUNTIF($A$2:$A157,$A157))</f>
        <v/>
      </c>
      <c r="I157" s="9">
        <f>IF($A157="","",TEXT($A157,"yyyy-mm-dd")&amp;"#"&amp;$H157)</f>
        <v/>
      </c>
    </row>
    <row r="158">
      <c r="A158" s="8" t="n"/>
      <c r="B158" s="9">
        <f>IF($A158="","",TEXT($A158,"ddd"))</f>
        <v/>
      </c>
      <c r="C158" s="4" t="n"/>
      <c r="D158" s="10" t="n"/>
      <c r="E158" s="11">
        <f>IF($C158="","",IFERROR(VLOOKUP($C158,TechRates,3,FALSE),0))</f>
        <v/>
      </c>
      <c r="F158" s="11">
        <f>IF(OR($A158="",$D158=""),"",CEILING($D158*$E158,RoundInc))</f>
        <v/>
      </c>
      <c r="G158" s="4" t="n"/>
      <c r="H158" s="9">
        <f>IF($A158="","",COUNTIF($A$2:$A158,$A158))</f>
        <v/>
      </c>
      <c r="I158" s="9">
        <f>IF($A158="","",TEXT($A158,"yyyy-mm-dd")&amp;"#"&amp;$H158)</f>
        <v/>
      </c>
    </row>
    <row r="159">
      <c r="A159" s="8" t="n"/>
      <c r="B159" s="9">
        <f>IF($A159="","",TEXT($A159,"ddd"))</f>
        <v/>
      </c>
      <c r="C159" s="4" t="n"/>
      <c r="D159" s="10" t="n"/>
      <c r="E159" s="11">
        <f>IF($C159="","",IFERROR(VLOOKUP($C159,TechRates,3,FALSE),0))</f>
        <v/>
      </c>
      <c r="F159" s="11">
        <f>IF(OR($A159="",$D159=""),"",CEILING($D159*$E159,RoundInc))</f>
        <v/>
      </c>
      <c r="G159" s="4" t="n"/>
      <c r="H159" s="9">
        <f>IF($A159="","",COUNTIF($A$2:$A159,$A159))</f>
        <v/>
      </c>
      <c r="I159" s="9">
        <f>IF($A159="","",TEXT($A159,"yyyy-mm-dd")&amp;"#"&amp;$H159)</f>
        <v/>
      </c>
    </row>
    <row r="160">
      <c r="A160" s="8" t="n"/>
      <c r="B160" s="9">
        <f>IF($A160="","",TEXT($A160,"ddd"))</f>
        <v/>
      </c>
      <c r="C160" s="4" t="n"/>
      <c r="D160" s="10" t="n"/>
      <c r="E160" s="11">
        <f>IF($C160="","",IFERROR(VLOOKUP($C160,TechRates,3,FALSE),0))</f>
        <v/>
      </c>
      <c r="F160" s="11">
        <f>IF(OR($A160="",$D160=""),"",CEILING($D160*$E160,RoundInc))</f>
        <v/>
      </c>
      <c r="G160" s="4" t="n"/>
      <c r="H160" s="9">
        <f>IF($A160="","",COUNTIF($A$2:$A160,$A160))</f>
        <v/>
      </c>
      <c r="I160" s="9">
        <f>IF($A160="","",TEXT($A160,"yyyy-mm-dd")&amp;"#"&amp;$H160)</f>
        <v/>
      </c>
    </row>
    <row r="161">
      <c r="A161" s="8" t="n"/>
      <c r="B161" s="9">
        <f>IF($A161="","",TEXT($A161,"ddd"))</f>
        <v/>
      </c>
      <c r="C161" s="4" t="n"/>
      <c r="D161" s="10" t="n"/>
      <c r="E161" s="11">
        <f>IF($C161="","",IFERROR(VLOOKUP($C161,TechRates,3,FALSE),0))</f>
        <v/>
      </c>
      <c r="F161" s="11">
        <f>IF(OR($A161="",$D161=""),"",CEILING($D161*$E161,RoundInc))</f>
        <v/>
      </c>
      <c r="G161" s="4" t="n"/>
      <c r="H161" s="9">
        <f>IF($A161="","",COUNTIF($A$2:$A161,$A161))</f>
        <v/>
      </c>
      <c r="I161" s="9">
        <f>IF($A161="","",TEXT($A161,"yyyy-mm-dd")&amp;"#"&amp;$H161)</f>
        <v/>
      </c>
    </row>
    <row r="162">
      <c r="A162" s="8" t="n"/>
      <c r="B162" s="9">
        <f>IF($A162="","",TEXT($A162,"ddd"))</f>
        <v/>
      </c>
      <c r="C162" s="4" t="n"/>
      <c r="D162" s="10" t="n"/>
      <c r="E162" s="11">
        <f>IF($C162="","",IFERROR(VLOOKUP($C162,TechRates,3,FALSE),0))</f>
        <v/>
      </c>
      <c r="F162" s="11">
        <f>IF(OR($A162="",$D162=""),"",CEILING($D162*$E162,RoundInc))</f>
        <v/>
      </c>
      <c r="G162" s="4" t="n"/>
      <c r="H162" s="9">
        <f>IF($A162="","",COUNTIF($A$2:$A162,$A162))</f>
        <v/>
      </c>
      <c r="I162" s="9">
        <f>IF($A162="","",TEXT($A162,"yyyy-mm-dd")&amp;"#"&amp;$H162)</f>
        <v/>
      </c>
    </row>
    <row r="163">
      <c r="A163" s="8" t="n"/>
      <c r="B163" s="9">
        <f>IF($A163="","",TEXT($A163,"ddd"))</f>
        <v/>
      </c>
      <c r="C163" s="4" t="n"/>
      <c r="D163" s="10" t="n"/>
      <c r="E163" s="11">
        <f>IF($C163="","",IFERROR(VLOOKUP($C163,TechRates,3,FALSE),0))</f>
        <v/>
      </c>
      <c r="F163" s="11">
        <f>IF(OR($A163="",$D163=""),"",CEILING($D163*$E163,RoundInc))</f>
        <v/>
      </c>
      <c r="G163" s="4" t="n"/>
      <c r="H163" s="9">
        <f>IF($A163="","",COUNTIF($A$2:$A163,$A163))</f>
        <v/>
      </c>
      <c r="I163" s="9">
        <f>IF($A163="","",TEXT($A163,"yyyy-mm-dd")&amp;"#"&amp;$H163)</f>
        <v/>
      </c>
    </row>
    <row r="164">
      <c r="A164" s="8" t="n"/>
      <c r="B164" s="9">
        <f>IF($A164="","",TEXT($A164,"ddd"))</f>
        <v/>
      </c>
      <c r="C164" s="4" t="n"/>
      <c r="D164" s="10" t="n"/>
      <c r="E164" s="11">
        <f>IF($C164="","",IFERROR(VLOOKUP($C164,TechRates,3,FALSE),0))</f>
        <v/>
      </c>
      <c r="F164" s="11">
        <f>IF(OR($A164="",$D164=""),"",CEILING($D164*$E164,RoundInc))</f>
        <v/>
      </c>
      <c r="G164" s="4" t="n"/>
      <c r="H164" s="9">
        <f>IF($A164="","",COUNTIF($A$2:$A164,$A164))</f>
        <v/>
      </c>
      <c r="I164" s="9">
        <f>IF($A164="","",TEXT($A164,"yyyy-mm-dd")&amp;"#"&amp;$H164)</f>
        <v/>
      </c>
    </row>
    <row r="165">
      <c r="A165" s="8" t="n"/>
      <c r="B165" s="9">
        <f>IF($A165="","",TEXT($A165,"ddd"))</f>
        <v/>
      </c>
      <c r="C165" s="4" t="n"/>
      <c r="D165" s="10" t="n"/>
      <c r="E165" s="11">
        <f>IF($C165="","",IFERROR(VLOOKUP($C165,TechRates,3,FALSE),0))</f>
        <v/>
      </c>
      <c r="F165" s="11">
        <f>IF(OR($A165="",$D165=""),"",CEILING($D165*$E165,RoundInc))</f>
        <v/>
      </c>
      <c r="G165" s="4" t="n"/>
      <c r="H165" s="9">
        <f>IF($A165="","",COUNTIF($A$2:$A165,$A165))</f>
        <v/>
      </c>
      <c r="I165" s="9">
        <f>IF($A165="","",TEXT($A165,"yyyy-mm-dd")&amp;"#"&amp;$H165)</f>
        <v/>
      </c>
    </row>
    <row r="166">
      <c r="A166" s="8" t="n"/>
      <c r="B166" s="9">
        <f>IF($A166="","",TEXT($A166,"ddd"))</f>
        <v/>
      </c>
      <c r="C166" s="4" t="n"/>
      <c r="D166" s="10" t="n"/>
      <c r="E166" s="11">
        <f>IF($C166="","",IFERROR(VLOOKUP($C166,TechRates,3,FALSE),0))</f>
        <v/>
      </c>
      <c r="F166" s="11">
        <f>IF(OR($A166="",$D166=""),"",CEILING($D166*$E166,RoundInc))</f>
        <v/>
      </c>
      <c r="G166" s="4" t="n"/>
      <c r="H166" s="9">
        <f>IF($A166="","",COUNTIF($A$2:$A166,$A166))</f>
        <v/>
      </c>
      <c r="I166" s="9">
        <f>IF($A166="","",TEXT($A166,"yyyy-mm-dd")&amp;"#"&amp;$H166)</f>
        <v/>
      </c>
    </row>
    <row r="167">
      <c r="A167" s="8" t="n"/>
      <c r="B167" s="9">
        <f>IF($A167="","",TEXT($A167,"ddd"))</f>
        <v/>
      </c>
      <c r="C167" s="4" t="n"/>
      <c r="D167" s="10" t="n"/>
      <c r="E167" s="11">
        <f>IF($C167="","",IFERROR(VLOOKUP($C167,TechRates,3,FALSE),0))</f>
        <v/>
      </c>
      <c r="F167" s="11">
        <f>IF(OR($A167="",$D167=""),"",CEILING($D167*$E167,RoundInc))</f>
        <v/>
      </c>
      <c r="G167" s="4" t="n"/>
      <c r="H167" s="9">
        <f>IF($A167="","",COUNTIF($A$2:$A167,$A167))</f>
        <v/>
      </c>
      <c r="I167" s="9">
        <f>IF($A167="","",TEXT($A167,"yyyy-mm-dd")&amp;"#"&amp;$H167)</f>
        <v/>
      </c>
    </row>
    <row r="168">
      <c r="A168" s="8" t="n"/>
      <c r="B168" s="9">
        <f>IF($A168="","",TEXT($A168,"ddd"))</f>
        <v/>
      </c>
      <c r="C168" s="4" t="n"/>
      <c r="D168" s="10" t="n"/>
      <c r="E168" s="11">
        <f>IF($C168="","",IFERROR(VLOOKUP($C168,TechRates,3,FALSE),0))</f>
        <v/>
      </c>
      <c r="F168" s="11">
        <f>IF(OR($A168="",$D168=""),"",CEILING($D168*$E168,RoundInc))</f>
        <v/>
      </c>
      <c r="G168" s="4" t="n"/>
      <c r="H168" s="9">
        <f>IF($A168="","",COUNTIF($A$2:$A168,$A168))</f>
        <v/>
      </c>
      <c r="I168" s="9">
        <f>IF($A168="","",TEXT($A168,"yyyy-mm-dd")&amp;"#"&amp;$H168)</f>
        <v/>
      </c>
    </row>
    <row r="169">
      <c r="A169" s="8" t="n"/>
      <c r="B169" s="9">
        <f>IF($A169="","",TEXT($A169,"ddd"))</f>
        <v/>
      </c>
      <c r="C169" s="4" t="n"/>
      <c r="D169" s="10" t="n"/>
      <c r="E169" s="11">
        <f>IF($C169="","",IFERROR(VLOOKUP($C169,TechRates,3,FALSE),0))</f>
        <v/>
      </c>
      <c r="F169" s="11">
        <f>IF(OR($A169="",$D169=""),"",CEILING($D169*$E169,RoundInc))</f>
        <v/>
      </c>
      <c r="G169" s="4" t="n"/>
      <c r="H169" s="9">
        <f>IF($A169="","",COUNTIF($A$2:$A169,$A169))</f>
        <v/>
      </c>
      <c r="I169" s="9">
        <f>IF($A169="","",TEXT($A169,"yyyy-mm-dd")&amp;"#"&amp;$H169)</f>
        <v/>
      </c>
    </row>
    <row r="170">
      <c r="A170" s="8" t="n"/>
      <c r="B170" s="9">
        <f>IF($A170="","",TEXT($A170,"ddd"))</f>
        <v/>
      </c>
      <c r="C170" s="4" t="n"/>
      <c r="D170" s="10" t="n"/>
      <c r="E170" s="11">
        <f>IF($C170="","",IFERROR(VLOOKUP($C170,TechRates,3,FALSE),0))</f>
        <v/>
      </c>
      <c r="F170" s="11">
        <f>IF(OR($A170="",$D170=""),"",CEILING($D170*$E170,RoundInc))</f>
        <v/>
      </c>
      <c r="G170" s="4" t="n"/>
      <c r="H170" s="9">
        <f>IF($A170="","",COUNTIF($A$2:$A170,$A170))</f>
        <v/>
      </c>
      <c r="I170" s="9">
        <f>IF($A170="","",TEXT($A170,"yyyy-mm-dd")&amp;"#"&amp;$H170)</f>
        <v/>
      </c>
    </row>
    <row r="171">
      <c r="A171" s="8" t="n"/>
      <c r="B171" s="9">
        <f>IF($A171="","",TEXT($A171,"ddd"))</f>
        <v/>
      </c>
      <c r="C171" s="4" t="n"/>
      <c r="D171" s="10" t="n"/>
      <c r="E171" s="11">
        <f>IF($C171="","",IFERROR(VLOOKUP($C171,TechRates,3,FALSE),0))</f>
        <v/>
      </c>
      <c r="F171" s="11">
        <f>IF(OR($A171="",$D171=""),"",CEILING($D171*$E171,RoundInc))</f>
        <v/>
      </c>
      <c r="G171" s="4" t="n"/>
      <c r="H171" s="9">
        <f>IF($A171="","",COUNTIF($A$2:$A171,$A171))</f>
        <v/>
      </c>
      <c r="I171" s="9">
        <f>IF($A171="","",TEXT($A171,"yyyy-mm-dd")&amp;"#"&amp;$H171)</f>
        <v/>
      </c>
    </row>
    <row r="172">
      <c r="A172" s="8" t="n"/>
      <c r="B172" s="9">
        <f>IF($A172="","",TEXT($A172,"ddd"))</f>
        <v/>
      </c>
      <c r="C172" s="4" t="n"/>
      <c r="D172" s="10" t="n"/>
      <c r="E172" s="11">
        <f>IF($C172="","",IFERROR(VLOOKUP($C172,TechRates,3,FALSE),0))</f>
        <v/>
      </c>
      <c r="F172" s="11">
        <f>IF(OR($A172="",$D172=""),"",CEILING($D172*$E172,RoundInc))</f>
        <v/>
      </c>
      <c r="G172" s="4" t="n"/>
      <c r="H172" s="9">
        <f>IF($A172="","",COUNTIF($A$2:$A172,$A172))</f>
        <v/>
      </c>
      <c r="I172" s="9">
        <f>IF($A172="","",TEXT($A172,"yyyy-mm-dd")&amp;"#"&amp;$H172)</f>
        <v/>
      </c>
    </row>
    <row r="173">
      <c r="A173" s="8" t="n"/>
      <c r="B173" s="9">
        <f>IF($A173="","",TEXT($A173,"ddd"))</f>
        <v/>
      </c>
      <c r="C173" s="4" t="n"/>
      <c r="D173" s="10" t="n"/>
      <c r="E173" s="11">
        <f>IF($C173="","",IFERROR(VLOOKUP($C173,TechRates,3,FALSE),0))</f>
        <v/>
      </c>
      <c r="F173" s="11">
        <f>IF(OR($A173="",$D173=""),"",CEILING($D173*$E173,RoundInc))</f>
        <v/>
      </c>
      <c r="G173" s="4" t="n"/>
      <c r="H173" s="9">
        <f>IF($A173="","",COUNTIF($A$2:$A173,$A173))</f>
        <v/>
      </c>
      <c r="I173" s="9">
        <f>IF($A173="","",TEXT($A173,"yyyy-mm-dd")&amp;"#"&amp;$H173)</f>
        <v/>
      </c>
    </row>
    <row r="174">
      <c r="A174" s="8" t="n"/>
      <c r="B174" s="9">
        <f>IF($A174="","",TEXT($A174,"ddd"))</f>
        <v/>
      </c>
      <c r="C174" s="4" t="n"/>
      <c r="D174" s="10" t="n"/>
      <c r="E174" s="11">
        <f>IF($C174="","",IFERROR(VLOOKUP($C174,TechRates,3,FALSE),0))</f>
        <v/>
      </c>
      <c r="F174" s="11">
        <f>IF(OR($A174="",$D174=""),"",CEILING($D174*$E174,RoundInc))</f>
        <v/>
      </c>
      <c r="G174" s="4" t="n"/>
      <c r="H174" s="9">
        <f>IF($A174="","",COUNTIF($A$2:$A174,$A174))</f>
        <v/>
      </c>
      <c r="I174" s="9">
        <f>IF($A174="","",TEXT($A174,"yyyy-mm-dd")&amp;"#"&amp;$H174)</f>
        <v/>
      </c>
    </row>
    <row r="175">
      <c r="A175" s="8" t="n"/>
      <c r="B175" s="9">
        <f>IF($A175="","",TEXT($A175,"ddd"))</f>
        <v/>
      </c>
      <c r="C175" s="4" t="n"/>
      <c r="D175" s="10" t="n"/>
      <c r="E175" s="11">
        <f>IF($C175="","",IFERROR(VLOOKUP($C175,TechRates,3,FALSE),0))</f>
        <v/>
      </c>
      <c r="F175" s="11">
        <f>IF(OR($A175="",$D175=""),"",CEILING($D175*$E175,RoundInc))</f>
        <v/>
      </c>
      <c r="G175" s="4" t="n"/>
      <c r="H175" s="9">
        <f>IF($A175="","",COUNTIF($A$2:$A175,$A175))</f>
        <v/>
      </c>
      <c r="I175" s="9">
        <f>IF($A175="","",TEXT($A175,"yyyy-mm-dd")&amp;"#"&amp;$H175)</f>
        <v/>
      </c>
    </row>
    <row r="176">
      <c r="A176" s="8" t="n"/>
      <c r="B176" s="9">
        <f>IF($A176="","",TEXT($A176,"ddd"))</f>
        <v/>
      </c>
      <c r="C176" s="4" t="n"/>
      <c r="D176" s="10" t="n"/>
      <c r="E176" s="11">
        <f>IF($C176="","",IFERROR(VLOOKUP($C176,TechRates,3,FALSE),0))</f>
        <v/>
      </c>
      <c r="F176" s="11">
        <f>IF(OR($A176="",$D176=""),"",CEILING($D176*$E176,RoundInc))</f>
        <v/>
      </c>
      <c r="G176" s="4" t="n"/>
      <c r="H176" s="9">
        <f>IF($A176="","",COUNTIF($A$2:$A176,$A176))</f>
        <v/>
      </c>
      <c r="I176" s="9">
        <f>IF($A176="","",TEXT($A176,"yyyy-mm-dd")&amp;"#"&amp;$H176)</f>
        <v/>
      </c>
    </row>
    <row r="177">
      <c r="A177" s="8" t="n"/>
      <c r="B177" s="9">
        <f>IF($A177="","",TEXT($A177,"ddd"))</f>
        <v/>
      </c>
      <c r="C177" s="4" t="n"/>
      <c r="D177" s="10" t="n"/>
      <c r="E177" s="11">
        <f>IF($C177="","",IFERROR(VLOOKUP($C177,TechRates,3,FALSE),0))</f>
        <v/>
      </c>
      <c r="F177" s="11">
        <f>IF(OR($A177="",$D177=""),"",CEILING($D177*$E177,RoundInc))</f>
        <v/>
      </c>
      <c r="G177" s="4" t="n"/>
      <c r="H177" s="9">
        <f>IF($A177="","",COUNTIF($A$2:$A177,$A177))</f>
        <v/>
      </c>
      <c r="I177" s="9">
        <f>IF($A177="","",TEXT($A177,"yyyy-mm-dd")&amp;"#"&amp;$H177)</f>
        <v/>
      </c>
    </row>
    <row r="178">
      <c r="A178" s="8" t="n"/>
      <c r="B178" s="9">
        <f>IF($A178="","",TEXT($A178,"ddd"))</f>
        <v/>
      </c>
      <c r="C178" s="4" t="n"/>
      <c r="D178" s="10" t="n"/>
      <c r="E178" s="11">
        <f>IF($C178="","",IFERROR(VLOOKUP($C178,TechRates,3,FALSE),0))</f>
        <v/>
      </c>
      <c r="F178" s="11">
        <f>IF(OR($A178="",$D178=""),"",CEILING($D178*$E178,RoundInc))</f>
        <v/>
      </c>
      <c r="G178" s="4" t="n"/>
      <c r="H178" s="9">
        <f>IF($A178="","",COUNTIF($A$2:$A178,$A178))</f>
        <v/>
      </c>
      <c r="I178" s="9">
        <f>IF($A178="","",TEXT($A178,"yyyy-mm-dd")&amp;"#"&amp;$H178)</f>
        <v/>
      </c>
    </row>
    <row r="179">
      <c r="A179" s="8" t="n"/>
      <c r="B179" s="9">
        <f>IF($A179="","",TEXT($A179,"ddd"))</f>
        <v/>
      </c>
      <c r="C179" s="4" t="n"/>
      <c r="D179" s="10" t="n"/>
      <c r="E179" s="11">
        <f>IF($C179="","",IFERROR(VLOOKUP($C179,TechRates,3,FALSE),0))</f>
        <v/>
      </c>
      <c r="F179" s="11">
        <f>IF(OR($A179="",$D179=""),"",CEILING($D179*$E179,RoundInc))</f>
        <v/>
      </c>
      <c r="G179" s="4" t="n"/>
      <c r="H179" s="9">
        <f>IF($A179="","",COUNTIF($A$2:$A179,$A179))</f>
        <v/>
      </c>
      <c r="I179" s="9">
        <f>IF($A179="","",TEXT($A179,"yyyy-mm-dd")&amp;"#"&amp;$H179)</f>
        <v/>
      </c>
    </row>
    <row r="180">
      <c r="A180" s="8" t="n"/>
      <c r="B180" s="9">
        <f>IF($A180="","",TEXT($A180,"ddd"))</f>
        <v/>
      </c>
      <c r="C180" s="4" t="n"/>
      <c r="D180" s="10" t="n"/>
      <c r="E180" s="11">
        <f>IF($C180="","",IFERROR(VLOOKUP($C180,TechRates,3,FALSE),0))</f>
        <v/>
      </c>
      <c r="F180" s="11">
        <f>IF(OR($A180="",$D180=""),"",CEILING($D180*$E180,RoundInc))</f>
        <v/>
      </c>
      <c r="G180" s="4" t="n"/>
      <c r="H180" s="9">
        <f>IF($A180="","",COUNTIF($A$2:$A180,$A180))</f>
        <v/>
      </c>
      <c r="I180" s="9">
        <f>IF($A180="","",TEXT($A180,"yyyy-mm-dd")&amp;"#"&amp;$H180)</f>
        <v/>
      </c>
    </row>
    <row r="181">
      <c r="A181" s="8" t="n"/>
      <c r="B181" s="9">
        <f>IF($A181="","",TEXT($A181,"ddd"))</f>
        <v/>
      </c>
      <c r="C181" s="4" t="n"/>
      <c r="D181" s="10" t="n"/>
      <c r="E181" s="11">
        <f>IF($C181="","",IFERROR(VLOOKUP($C181,TechRates,3,FALSE),0))</f>
        <v/>
      </c>
      <c r="F181" s="11">
        <f>IF(OR($A181="",$D181=""),"",CEILING($D181*$E181,RoundInc))</f>
        <v/>
      </c>
      <c r="G181" s="4" t="n"/>
      <c r="H181" s="9">
        <f>IF($A181="","",COUNTIF($A$2:$A181,$A181))</f>
        <v/>
      </c>
      <c r="I181" s="9">
        <f>IF($A181="","",TEXT($A181,"yyyy-mm-dd")&amp;"#"&amp;$H181)</f>
        <v/>
      </c>
    </row>
    <row r="182">
      <c r="A182" s="8" t="n"/>
      <c r="B182" s="9">
        <f>IF($A182="","",TEXT($A182,"ddd"))</f>
        <v/>
      </c>
      <c r="C182" s="4" t="n"/>
      <c r="D182" s="10" t="n"/>
      <c r="E182" s="11">
        <f>IF($C182="","",IFERROR(VLOOKUP($C182,TechRates,3,FALSE),0))</f>
        <v/>
      </c>
      <c r="F182" s="11">
        <f>IF(OR($A182="",$D182=""),"",CEILING($D182*$E182,RoundInc))</f>
        <v/>
      </c>
      <c r="G182" s="4" t="n"/>
      <c r="H182" s="9">
        <f>IF($A182="","",COUNTIF($A$2:$A182,$A182))</f>
        <v/>
      </c>
      <c r="I182" s="9">
        <f>IF($A182="","",TEXT($A182,"yyyy-mm-dd")&amp;"#"&amp;$H182)</f>
        <v/>
      </c>
    </row>
    <row r="183">
      <c r="A183" s="8" t="n"/>
      <c r="B183" s="9">
        <f>IF($A183="","",TEXT($A183,"ddd"))</f>
        <v/>
      </c>
      <c r="C183" s="4" t="n"/>
      <c r="D183" s="10" t="n"/>
      <c r="E183" s="11">
        <f>IF($C183="","",IFERROR(VLOOKUP($C183,TechRates,3,FALSE),0))</f>
        <v/>
      </c>
      <c r="F183" s="11">
        <f>IF(OR($A183="",$D183=""),"",CEILING($D183*$E183,RoundInc))</f>
        <v/>
      </c>
      <c r="G183" s="4" t="n"/>
      <c r="H183" s="9">
        <f>IF($A183="","",COUNTIF($A$2:$A183,$A183))</f>
        <v/>
      </c>
      <c r="I183" s="9">
        <f>IF($A183="","",TEXT($A183,"yyyy-mm-dd")&amp;"#"&amp;$H183)</f>
        <v/>
      </c>
    </row>
    <row r="184">
      <c r="A184" s="8" t="n"/>
      <c r="B184" s="9">
        <f>IF($A184="","",TEXT($A184,"ddd"))</f>
        <v/>
      </c>
      <c r="C184" s="4" t="n"/>
      <c r="D184" s="10" t="n"/>
      <c r="E184" s="11">
        <f>IF($C184="","",IFERROR(VLOOKUP($C184,TechRates,3,FALSE),0))</f>
        <v/>
      </c>
      <c r="F184" s="11">
        <f>IF(OR($A184="",$D184=""),"",CEILING($D184*$E184,RoundInc))</f>
        <v/>
      </c>
      <c r="G184" s="4" t="n"/>
      <c r="H184" s="9">
        <f>IF($A184="","",COUNTIF($A$2:$A184,$A184))</f>
        <v/>
      </c>
      <c r="I184" s="9">
        <f>IF($A184="","",TEXT($A184,"yyyy-mm-dd")&amp;"#"&amp;$H184)</f>
        <v/>
      </c>
    </row>
    <row r="185">
      <c r="A185" s="8" t="n"/>
      <c r="B185" s="9">
        <f>IF($A185="","",TEXT($A185,"ddd"))</f>
        <v/>
      </c>
      <c r="C185" s="4" t="n"/>
      <c r="D185" s="10" t="n"/>
      <c r="E185" s="11">
        <f>IF($C185="","",IFERROR(VLOOKUP($C185,TechRates,3,FALSE),0))</f>
        <v/>
      </c>
      <c r="F185" s="11">
        <f>IF(OR($A185="",$D185=""),"",CEILING($D185*$E185,RoundInc))</f>
        <v/>
      </c>
      <c r="G185" s="4" t="n"/>
      <c r="H185" s="9">
        <f>IF($A185="","",COUNTIF($A$2:$A185,$A185))</f>
        <v/>
      </c>
      <c r="I185" s="9">
        <f>IF($A185="","",TEXT($A185,"yyyy-mm-dd")&amp;"#"&amp;$H185)</f>
        <v/>
      </c>
    </row>
    <row r="186">
      <c r="A186" s="8" t="n"/>
      <c r="B186" s="9">
        <f>IF($A186="","",TEXT($A186,"ddd"))</f>
        <v/>
      </c>
      <c r="C186" s="4" t="n"/>
      <c r="D186" s="10" t="n"/>
      <c r="E186" s="11">
        <f>IF($C186="","",IFERROR(VLOOKUP($C186,TechRates,3,FALSE),0))</f>
        <v/>
      </c>
      <c r="F186" s="11">
        <f>IF(OR($A186="",$D186=""),"",CEILING($D186*$E186,RoundInc))</f>
        <v/>
      </c>
      <c r="G186" s="4" t="n"/>
      <c r="H186" s="9">
        <f>IF($A186="","",COUNTIF($A$2:$A186,$A186))</f>
        <v/>
      </c>
      <c r="I186" s="9">
        <f>IF($A186="","",TEXT($A186,"yyyy-mm-dd")&amp;"#"&amp;$H186)</f>
        <v/>
      </c>
    </row>
    <row r="187">
      <c r="A187" s="8" t="n"/>
      <c r="B187" s="9">
        <f>IF($A187="","",TEXT($A187,"ddd"))</f>
        <v/>
      </c>
      <c r="C187" s="4" t="n"/>
      <c r="D187" s="10" t="n"/>
      <c r="E187" s="11">
        <f>IF($C187="","",IFERROR(VLOOKUP($C187,TechRates,3,FALSE),0))</f>
        <v/>
      </c>
      <c r="F187" s="11">
        <f>IF(OR($A187="",$D187=""),"",CEILING($D187*$E187,RoundInc))</f>
        <v/>
      </c>
      <c r="G187" s="4" t="n"/>
      <c r="H187" s="9">
        <f>IF($A187="","",COUNTIF($A$2:$A187,$A187))</f>
        <v/>
      </c>
      <c r="I187" s="9">
        <f>IF($A187="","",TEXT($A187,"yyyy-mm-dd")&amp;"#"&amp;$H187)</f>
        <v/>
      </c>
    </row>
    <row r="188">
      <c r="A188" s="8" t="n"/>
      <c r="B188" s="9">
        <f>IF($A188="","",TEXT($A188,"ddd"))</f>
        <v/>
      </c>
      <c r="C188" s="4" t="n"/>
      <c r="D188" s="10" t="n"/>
      <c r="E188" s="11">
        <f>IF($C188="","",IFERROR(VLOOKUP($C188,TechRates,3,FALSE),0))</f>
        <v/>
      </c>
      <c r="F188" s="11">
        <f>IF(OR($A188="",$D188=""),"",CEILING($D188*$E188,RoundInc))</f>
        <v/>
      </c>
      <c r="G188" s="4" t="n"/>
      <c r="H188" s="9">
        <f>IF($A188="","",COUNTIF($A$2:$A188,$A188))</f>
        <v/>
      </c>
      <c r="I188" s="9">
        <f>IF($A188="","",TEXT($A188,"yyyy-mm-dd")&amp;"#"&amp;$H188)</f>
        <v/>
      </c>
    </row>
    <row r="189">
      <c r="A189" s="8" t="n"/>
      <c r="B189" s="9">
        <f>IF($A189="","",TEXT($A189,"ddd"))</f>
        <v/>
      </c>
      <c r="C189" s="4" t="n"/>
      <c r="D189" s="10" t="n"/>
      <c r="E189" s="11">
        <f>IF($C189="","",IFERROR(VLOOKUP($C189,TechRates,3,FALSE),0))</f>
        <v/>
      </c>
      <c r="F189" s="11">
        <f>IF(OR($A189="",$D189=""),"",CEILING($D189*$E189,RoundInc))</f>
        <v/>
      </c>
      <c r="G189" s="4" t="n"/>
      <c r="H189" s="9">
        <f>IF($A189="","",COUNTIF($A$2:$A189,$A189))</f>
        <v/>
      </c>
      <c r="I189" s="9">
        <f>IF($A189="","",TEXT($A189,"yyyy-mm-dd")&amp;"#"&amp;$H189)</f>
        <v/>
      </c>
    </row>
    <row r="190">
      <c r="A190" s="8" t="n"/>
      <c r="B190" s="9">
        <f>IF($A190="","",TEXT($A190,"ddd"))</f>
        <v/>
      </c>
      <c r="C190" s="4" t="n"/>
      <c r="D190" s="10" t="n"/>
      <c r="E190" s="11">
        <f>IF($C190="","",IFERROR(VLOOKUP($C190,TechRates,3,FALSE),0))</f>
        <v/>
      </c>
      <c r="F190" s="11">
        <f>IF(OR($A190="",$D190=""),"",CEILING($D190*$E190,RoundInc))</f>
        <v/>
      </c>
      <c r="G190" s="4" t="n"/>
      <c r="H190" s="9">
        <f>IF($A190="","",COUNTIF($A$2:$A190,$A190))</f>
        <v/>
      </c>
      <c r="I190" s="9">
        <f>IF($A190="","",TEXT($A190,"yyyy-mm-dd")&amp;"#"&amp;$H190)</f>
        <v/>
      </c>
    </row>
    <row r="191">
      <c r="A191" s="8" t="n"/>
      <c r="B191" s="9">
        <f>IF($A191="","",TEXT($A191,"ddd"))</f>
        <v/>
      </c>
      <c r="C191" s="4" t="n"/>
      <c r="D191" s="10" t="n"/>
      <c r="E191" s="11">
        <f>IF($C191="","",IFERROR(VLOOKUP($C191,TechRates,3,FALSE),0))</f>
        <v/>
      </c>
      <c r="F191" s="11">
        <f>IF(OR($A191="",$D191=""),"",CEILING($D191*$E191,RoundInc))</f>
        <v/>
      </c>
      <c r="G191" s="4" t="n"/>
      <c r="H191" s="9">
        <f>IF($A191="","",COUNTIF($A$2:$A191,$A191))</f>
        <v/>
      </c>
      <c r="I191" s="9">
        <f>IF($A191="","",TEXT($A191,"yyyy-mm-dd")&amp;"#"&amp;$H191)</f>
        <v/>
      </c>
    </row>
    <row r="192">
      <c r="A192" s="8" t="n"/>
      <c r="B192" s="9">
        <f>IF($A192="","",TEXT($A192,"ddd"))</f>
        <v/>
      </c>
      <c r="C192" s="4" t="n"/>
      <c r="D192" s="10" t="n"/>
      <c r="E192" s="11">
        <f>IF($C192="","",IFERROR(VLOOKUP($C192,TechRates,3,FALSE),0))</f>
        <v/>
      </c>
      <c r="F192" s="11">
        <f>IF(OR($A192="",$D192=""),"",CEILING($D192*$E192,RoundInc))</f>
        <v/>
      </c>
      <c r="G192" s="4" t="n"/>
      <c r="H192" s="9">
        <f>IF($A192="","",COUNTIF($A$2:$A192,$A192))</f>
        <v/>
      </c>
      <c r="I192" s="9">
        <f>IF($A192="","",TEXT($A192,"yyyy-mm-dd")&amp;"#"&amp;$H192)</f>
        <v/>
      </c>
    </row>
    <row r="193">
      <c r="A193" s="8" t="n"/>
      <c r="B193" s="9">
        <f>IF($A193="","",TEXT($A193,"ddd"))</f>
        <v/>
      </c>
      <c r="C193" s="4" t="n"/>
      <c r="D193" s="10" t="n"/>
      <c r="E193" s="11">
        <f>IF($C193="","",IFERROR(VLOOKUP($C193,TechRates,3,FALSE),0))</f>
        <v/>
      </c>
      <c r="F193" s="11">
        <f>IF(OR($A193="",$D193=""),"",CEILING($D193*$E193,RoundInc))</f>
        <v/>
      </c>
      <c r="G193" s="4" t="n"/>
      <c r="H193" s="9">
        <f>IF($A193="","",COUNTIF($A$2:$A193,$A193))</f>
        <v/>
      </c>
      <c r="I193" s="9">
        <f>IF($A193="","",TEXT($A193,"yyyy-mm-dd")&amp;"#"&amp;$H193)</f>
        <v/>
      </c>
    </row>
    <row r="194">
      <c r="A194" s="8" t="n"/>
      <c r="B194" s="9">
        <f>IF($A194="","",TEXT($A194,"ddd"))</f>
        <v/>
      </c>
      <c r="C194" s="4" t="n"/>
      <c r="D194" s="10" t="n"/>
      <c r="E194" s="11">
        <f>IF($C194="","",IFERROR(VLOOKUP($C194,TechRates,3,FALSE),0))</f>
        <v/>
      </c>
      <c r="F194" s="11">
        <f>IF(OR($A194="",$D194=""),"",CEILING($D194*$E194,RoundInc))</f>
        <v/>
      </c>
      <c r="G194" s="4" t="n"/>
      <c r="H194" s="9">
        <f>IF($A194="","",COUNTIF($A$2:$A194,$A194))</f>
        <v/>
      </c>
      <c r="I194" s="9">
        <f>IF($A194="","",TEXT($A194,"yyyy-mm-dd")&amp;"#"&amp;$H194)</f>
        <v/>
      </c>
    </row>
    <row r="195">
      <c r="A195" s="8" t="n"/>
      <c r="B195" s="9">
        <f>IF($A195="","",TEXT($A195,"ddd"))</f>
        <v/>
      </c>
      <c r="C195" s="4" t="n"/>
      <c r="D195" s="10" t="n"/>
      <c r="E195" s="11">
        <f>IF($C195="","",IFERROR(VLOOKUP($C195,TechRates,3,FALSE),0))</f>
        <v/>
      </c>
      <c r="F195" s="11">
        <f>IF(OR($A195="",$D195=""),"",CEILING($D195*$E195,RoundInc))</f>
        <v/>
      </c>
      <c r="G195" s="4" t="n"/>
      <c r="H195" s="9">
        <f>IF($A195="","",COUNTIF($A$2:$A195,$A195))</f>
        <v/>
      </c>
      <c r="I195" s="9">
        <f>IF($A195="","",TEXT($A195,"yyyy-mm-dd")&amp;"#"&amp;$H195)</f>
        <v/>
      </c>
    </row>
    <row r="196">
      <c r="A196" s="8" t="n"/>
      <c r="B196" s="9">
        <f>IF($A196="","",TEXT($A196,"ddd"))</f>
        <v/>
      </c>
      <c r="C196" s="4" t="n"/>
      <c r="D196" s="10" t="n"/>
      <c r="E196" s="11">
        <f>IF($C196="","",IFERROR(VLOOKUP($C196,TechRates,3,FALSE),0))</f>
        <v/>
      </c>
      <c r="F196" s="11">
        <f>IF(OR($A196="",$D196=""),"",CEILING($D196*$E196,RoundInc))</f>
        <v/>
      </c>
      <c r="G196" s="4" t="n"/>
      <c r="H196" s="9">
        <f>IF($A196="","",COUNTIF($A$2:$A196,$A196))</f>
        <v/>
      </c>
      <c r="I196" s="9">
        <f>IF($A196="","",TEXT($A196,"yyyy-mm-dd")&amp;"#"&amp;$H196)</f>
        <v/>
      </c>
    </row>
    <row r="197">
      <c r="A197" s="8" t="n"/>
      <c r="B197" s="9">
        <f>IF($A197="","",TEXT($A197,"ddd"))</f>
        <v/>
      </c>
      <c r="C197" s="4" t="n"/>
      <c r="D197" s="10" t="n"/>
      <c r="E197" s="11">
        <f>IF($C197="","",IFERROR(VLOOKUP($C197,TechRates,3,FALSE),0))</f>
        <v/>
      </c>
      <c r="F197" s="11">
        <f>IF(OR($A197="",$D197=""),"",CEILING($D197*$E197,RoundInc))</f>
        <v/>
      </c>
      <c r="G197" s="4" t="n"/>
      <c r="H197" s="9">
        <f>IF($A197="","",COUNTIF($A$2:$A197,$A197))</f>
        <v/>
      </c>
      <c r="I197" s="9">
        <f>IF($A197="","",TEXT($A197,"yyyy-mm-dd")&amp;"#"&amp;$H197)</f>
        <v/>
      </c>
    </row>
    <row r="198">
      <c r="A198" s="8" t="n"/>
      <c r="B198" s="9">
        <f>IF($A198="","",TEXT($A198,"ddd"))</f>
        <v/>
      </c>
      <c r="C198" s="4" t="n"/>
      <c r="D198" s="10" t="n"/>
      <c r="E198" s="11">
        <f>IF($C198="","",IFERROR(VLOOKUP($C198,TechRates,3,FALSE),0))</f>
        <v/>
      </c>
      <c r="F198" s="11">
        <f>IF(OR($A198="",$D198=""),"",CEILING($D198*$E198,RoundInc))</f>
        <v/>
      </c>
      <c r="G198" s="4" t="n"/>
      <c r="H198" s="9">
        <f>IF($A198="","",COUNTIF($A$2:$A198,$A198))</f>
        <v/>
      </c>
      <c r="I198" s="9">
        <f>IF($A198="","",TEXT($A198,"yyyy-mm-dd")&amp;"#"&amp;$H198)</f>
        <v/>
      </c>
    </row>
    <row r="199">
      <c r="A199" s="8" t="n"/>
      <c r="B199" s="9">
        <f>IF($A199="","",TEXT($A199,"ddd"))</f>
        <v/>
      </c>
      <c r="C199" s="4" t="n"/>
      <c r="D199" s="10" t="n"/>
      <c r="E199" s="11">
        <f>IF($C199="","",IFERROR(VLOOKUP($C199,TechRates,3,FALSE),0))</f>
        <v/>
      </c>
      <c r="F199" s="11">
        <f>IF(OR($A199="",$D199=""),"",CEILING($D199*$E199,RoundInc))</f>
        <v/>
      </c>
      <c r="G199" s="4" t="n"/>
      <c r="H199" s="9">
        <f>IF($A199="","",COUNTIF($A$2:$A199,$A199))</f>
        <v/>
      </c>
      <c r="I199" s="9">
        <f>IF($A199="","",TEXT($A199,"yyyy-mm-dd")&amp;"#"&amp;$H199)</f>
        <v/>
      </c>
    </row>
    <row r="200">
      <c r="A200" s="8" t="n"/>
      <c r="B200" s="9">
        <f>IF($A200="","",TEXT($A200,"ddd"))</f>
        <v/>
      </c>
      <c r="C200" s="4" t="n"/>
      <c r="D200" s="10" t="n"/>
      <c r="E200" s="11">
        <f>IF($C200="","",IFERROR(VLOOKUP($C200,TechRates,3,FALSE),0))</f>
        <v/>
      </c>
      <c r="F200" s="11">
        <f>IF(OR($A200="",$D200=""),"",CEILING($D200*$E200,RoundInc))</f>
        <v/>
      </c>
      <c r="G200" s="4" t="n"/>
      <c r="H200" s="9">
        <f>IF($A200="","",COUNTIF($A$2:$A200,$A200))</f>
        <v/>
      </c>
      <c r="I200" s="9">
        <f>IF($A200="","",TEXT($A200,"yyyy-mm-dd")&amp;"#"&amp;$H200)</f>
        <v/>
      </c>
    </row>
    <row r="201">
      <c r="A201" s="8" t="n"/>
      <c r="B201" s="9">
        <f>IF($A201="","",TEXT($A201,"ddd"))</f>
        <v/>
      </c>
      <c r="C201" s="4" t="n"/>
      <c r="D201" s="10" t="n"/>
      <c r="E201" s="11">
        <f>IF($C201="","",IFERROR(VLOOKUP($C201,TechRates,3,FALSE),0))</f>
        <v/>
      </c>
      <c r="F201" s="11">
        <f>IF(OR($A201="",$D201=""),"",CEILING($D201*$E201,RoundInc))</f>
        <v/>
      </c>
      <c r="G201" s="4" t="n"/>
      <c r="H201" s="9">
        <f>IF($A201="","",COUNTIF($A$2:$A201,$A201))</f>
        <v/>
      </c>
      <c r="I201" s="9">
        <f>IF($A201="","",TEXT($A201,"yyyy-mm-dd")&amp;"#"&amp;$H201)</f>
        <v/>
      </c>
    </row>
    <row r="202">
      <c r="A202" s="8" t="n"/>
      <c r="B202" s="9">
        <f>IF($A202="","",TEXT($A202,"ddd"))</f>
        <v/>
      </c>
      <c r="C202" s="4" t="n"/>
      <c r="D202" s="10" t="n"/>
      <c r="E202" s="11">
        <f>IF($C202="","",IFERROR(VLOOKUP($C202,TechRates,3,FALSE),0))</f>
        <v/>
      </c>
      <c r="F202" s="11">
        <f>IF(OR($A202="",$D202=""),"",CEILING($D202*$E202,RoundInc))</f>
        <v/>
      </c>
      <c r="G202" s="4" t="n"/>
      <c r="H202" s="9">
        <f>IF($A202="","",COUNTIF($A$2:$A202,$A202))</f>
        <v/>
      </c>
      <c r="I202" s="9">
        <f>IF($A202="","",TEXT($A202,"yyyy-mm-dd")&amp;"#"&amp;$H202)</f>
        <v/>
      </c>
    </row>
    <row r="203">
      <c r="A203" s="8" t="n"/>
      <c r="B203" s="9">
        <f>IF($A203="","",TEXT($A203,"ddd"))</f>
        <v/>
      </c>
      <c r="C203" s="4" t="n"/>
      <c r="D203" s="10" t="n"/>
      <c r="E203" s="11">
        <f>IF($C203="","",IFERROR(VLOOKUP($C203,TechRates,3,FALSE),0))</f>
        <v/>
      </c>
      <c r="F203" s="11">
        <f>IF(OR($A203="",$D203=""),"",CEILING($D203*$E203,RoundInc))</f>
        <v/>
      </c>
      <c r="G203" s="4" t="n"/>
      <c r="H203" s="9">
        <f>IF($A203="","",COUNTIF($A$2:$A203,$A203))</f>
        <v/>
      </c>
      <c r="I203" s="9">
        <f>IF($A203="","",TEXT($A203,"yyyy-mm-dd")&amp;"#"&amp;$H203)</f>
        <v/>
      </c>
    </row>
    <row r="204">
      <c r="A204" s="8" t="n"/>
      <c r="B204" s="9">
        <f>IF($A204="","",TEXT($A204,"ddd"))</f>
        <v/>
      </c>
      <c r="C204" s="4" t="n"/>
      <c r="D204" s="10" t="n"/>
      <c r="E204" s="11">
        <f>IF($C204="","",IFERROR(VLOOKUP($C204,TechRates,3,FALSE),0))</f>
        <v/>
      </c>
      <c r="F204" s="11">
        <f>IF(OR($A204="",$D204=""),"",CEILING($D204*$E204,RoundInc))</f>
        <v/>
      </c>
      <c r="G204" s="4" t="n"/>
      <c r="H204" s="9">
        <f>IF($A204="","",COUNTIF($A$2:$A204,$A204))</f>
        <v/>
      </c>
      <c r="I204" s="9">
        <f>IF($A204="","",TEXT($A204,"yyyy-mm-dd")&amp;"#"&amp;$H204)</f>
        <v/>
      </c>
    </row>
    <row r="205">
      <c r="A205" s="8" t="n"/>
      <c r="B205" s="9">
        <f>IF($A205="","",TEXT($A205,"ddd"))</f>
        <v/>
      </c>
      <c r="C205" s="4" t="n"/>
      <c r="D205" s="10" t="n"/>
      <c r="E205" s="11">
        <f>IF($C205="","",IFERROR(VLOOKUP($C205,TechRates,3,FALSE),0))</f>
        <v/>
      </c>
      <c r="F205" s="11">
        <f>IF(OR($A205="",$D205=""),"",CEILING($D205*$E205,RoundInc))</f>
        <v/>
      </c>
      <c r="G205" s="4" t="n"/>
      <c r="H205" s="9">
        <f>IF($A205="","",COUNTIF($A$2:$A205,$A205))</f>
        <v/>
      </c>
      <c r="I205" s="9">
        <f>IF($A205="","",TEXT($A205,"yyyy-mm-dd")&amp;"#"&amp;$H205)</f>
        <v/>
      </c>
    </row>
    <row r="206">
      <c r="A206" s="8" t="n"/>
      <c r="B206" s="9">
        <f>IF($A206="","",TEXT($A206,"ddd"))</f>
        <v/>
      </c>
      <c r="C206" s="4" t="n"/>
      <c r="D206" s="10" t="n"/>
      <c r="E206" s="11">
        <f>IF($C206="","",IFERROR(VLOOKUP($C206,TechRates,3,FALSE),0))</f>
        <v/>
      </c>
      <c r="F206" s="11">
        <f>IF(OR($A206="",$D206=""),"",CEILING($D206*$E206,RoundInc))</f>
        <v/>
      </c>
      <c r="G206" s="4" t="n"/>
      <c r="H206" s="9">
        <f>IF($A206="","",COUNTIF($A$2:$A206,$A206))</f>
        <v/>
      </c>
      <c r="I206" s="9">
        <f>IF($A206="","",TEXT($A206,"yyyy-mm-dd")&amp;"#"&amp;$H206)</f>
        <v/>
      </c>
    </row>
    <row r="207">
      <c r="A207" s="8" t="n"/>
      <c r="B207" s="9">
        <f>IF($A207="","",TEXT($A207,"ddd"))</f>
        <v/>
      </c>
      <c r="C207" s="4" t="n"/>
      <c r="D207" s="10" t="n"/>
      <c r="E207" s="11">
        <f>IF($C207="","",IFERROR(VLOOKUP($C207,TechRates,3,FALSE),0))</f>
        <v/>
      </c>
      <c r="F207" s="11">
        <f>IF(OR($A207="",$D207=""),"",CEILING($D207*$E207,RoundInc))</f>
        <v/>
      </c>
      <c r="G207" s="4" t="n"/>
      <c r="H207" s="9">
        <f>IF($A207="","",COUNTIF($A$2:$A207,$A207))</f>
        <v/>
      </c>
      <c r="I207" s="9">
        <f>IF($A207="","",TEXT($A207,"yyyy-mm-dd")&amp;"#"&amp;$H207)</f>
        <v/>
      </c>
    </row>
    <row r="208">
      <c r="A208" s="8" t="n"/>
      <c r="B208" s="9">
        <f>IF($A208="","",TEXT($A208,"ddd"))</f>
        <v/>
      </c>
      <c r="C208" s="4" t="n"/>
      <c r="D208" s="10" t="n"/>
      <c r="E208" s="11">
        <f>IF($C208="","",IFERROR(VLOOKUP($C208,TechRates,3,FALSE),0))</f>
        <v/>
      </c>
      <c r="F208" s="11">
        <f>IF(OR($A208="",$D208=""),"",CEILING($D208*$E208,RoundInc))</f>
        <v/>
      </c>
      <c r="G208" s="4" t="n"/>
      <c r="H208" s="9">
        <f>IF($A208="","",COUNTIF($A$2:$A208,$A208))</f>
        <v/>
      </c>
      <c r="I208" s="9">
        <f>IF($A208="","",TEXT($A208,"yyyy-mm-dd")&amp;"#"&amp;$H208)</f>
        <v/>
      </c>
    </row>
    <row r="209">
      <c r="A209" s="8" t="n"/>
      <c r="B209" s="9">
        <f>IF($A209="","",TEXT($A209,"ddd"))</f>
        <v/>
      </c>
      <c r="C209" s="4" t="n"/>
      <c r="D209" s="10" t="n"/>
      <c r="E209" s="11">
        <f>IF($C209="","",IFERROR(VLOOKUP($C209,TechRates,3,FALSE),0))</f>
        <v/>
      </c>
      <c r="F209" s="11">
        <f>IF(OR($A209="",$D209=""),"",CEILING($D209*$E209,RoundInc))</f>
        <v/>
      </c>
      <c r="G209" s="4" t="n"/>
      <c r="H209" s="9">
        <f>IF($A209="","",COUNTIF($A$2:$A209,$A209))</f>
        <v/>
      </c>
      <c r="I209" s="9">
        <f>IF($A209="","",TEXT($A209,"yyyy-mm-dd")&amp;"#"&amp;$H209)</f>
        <v/>
      </c>
    </row>
    <row r="210">
      <c r="A210" s="8" t="n"/>
      <c r="B210" s="9">
        <f>IF($A210="","",TEXT($A210,"ddd"))</f>
        <v/>
      </c>
      <c r="C210" s="4" t="n"/>
      <c r="D210" s="10" t="n"/>
      <c r="E210" s="11">
        <f>IF($C210="","",IFERROR(VLOOKUP($C210,TechRates,3,FALSE),0))</f>
        <v/>
      </c>
      <c r="F210" s="11">
        <f>IF(OR($A210="",$D210=""),"",CEILING($D210*$E210,RoundInc))</f>
        <v/>
      </c>
      <c r="G210" s="4" t="n"/>
      <c r="H210" s="9">
        <f>IF($A210="","",COUNTIF($A$2:$A210,$A210))</f>
        <v/>
      </c>
      <c r="I210" s="9">
        <f>IF($A210="","",TEXT($A210,"yyyy-mm-dd")&amp;"#"&amp;$H210)</f>
        <v/>
      </c>
    </row>
    <row r="211">
      <c r="A211" s="8" t="n"/>
      <c r="B211" s="9">
        <f>IF($A211="","",TEXT($A211,"ddd"))</f>
        <v/>
      </c>
      <c r="C211" s="4" t="n"/>
      <c r="D211" s="10" t="n"/>
      <c r="E211" s="11">
        <f>IF($C211="","",IFERROR(VLOOKUP($C211,TechRates,3,FALSE),0))</f>
        <v/>
      </c>
      <c r="F211" s="11">
        <f>IF(OR($A211="",$D211=""),"",CEILING($D211*$E211,RoundInc))</f>
        <v/>
      </c>
      <c r="G211" s="4" t="n"/>
      <c r="H211" s="9">
        <f>IF($A211="","",COUNTIF($A$2:$A211,$A211))</f>
        <v/>
      </c>
      <c r="I211" s="9">
        <f>IF($A211="","",TEXT($A211,"yyyy-mm-dd")&amp;"#"&amp;$H211)</f>
        <v/>
      </c>
    </row>
    <row r="212">
      <c r="A212" s="8" t="n"/>
      <c r="B212" s="9">
        <f>IF($A212="","",TEXT($A212,"ddd"))</f>
        <v/>
      </c>
      <c r="C212" s="4" t="n"/>
      <c r="D212" s="10" t="n"/>
      <c r="E212" s="11">
        <f>IF($C212="","",IFERROR(VLOOKUP($C212,TechRates,3,FALSE),0))</f>
        <v/>
      </c>
      <c r="F212" s="11">
        <f>IF(OR($A212="",$D212=""),"",CEILING($D212*$E212,RoundInc))</f>
        <v/>
      </c>
      <c r="G212" s="4" t="n"/>
      <c r="H212" s="9">
        <f>IF($A212="","",COUNTIF($A$2:$A212,$A212))</f>
        <v/>
      </c>
      <c r="I212" s="9">
        <f>IF($A212="","",TEXT($A212,"yyyy-mm-dd")&amp;"#"&amp;$H212)</f>
        <v/>
      </c>
    </row>
    <row r="213">
      <c r="A213" s="8" t="n"/>
      <c r="B213" s="9">
        <f>IF($A213="","",TEXT($A213,"ddd"))</f>
        <v/>
      </c>
      <c r="C213" s="4" t="n"/>
      <c r="D213" s="10" t="n"/>
      <c r="E213" s="11">
        <f>IF($C213="","",IFERROR(VLOOKUP($C213,TechRates,3,FALSE),0))</f>
        <v/>
      </c>
      <c r="F213" s="11">
        <f>IF(OR($A213="",$D213=""),"",CEILING($D213*$E213,RoundInc))</f>
        <v/>
      </c>
      <c r="G213" s="4" t="n"/>
      <c r="H213" s="9">
        <f>IF($A213="","",COUNTIF($A$2:$A213,$A213))</f>
        <v/>
      </c>
      <c r="I213" s="9">
        <f>IF($A213="","",TEXT($A213,"yyyy-mm-dd")&amp;"#"&amp;$H213)</f>
        <v/>
      </c>
    </row>
    <row r="214">
      <c r="A214" s="8" t="n"/>
      <c r="B214" s="9">
        <f>IF($A214="","",TEXT($A214,"ddd"))</f>
        <v/>
      </c>
      <c r="C214" s="4" t="n"/>
      <c r="D214" s="10" t="n"/>
      <c r="E214" s="11">
        <f>IF($C214="","",IFERROR(VLOOKUP($C214,TechRates,3,FALSE),0))</f>
        <v/>
      </c>
      <c r="F214" s="11">
        <f>IF(OR($A214="",$D214=""),"",CEILING($D214*$E214,RoundInc))</f>
        <v/>
      </c>
      <c r="G214" s="4" t="n"/>
      <c r="H214" s="9">
        <f>IF($A214="","",COUNTIF($A$2:$A214,$A214))</f>
        <v/>
      </c>
      <c r="I214" s="9">
        <f>IF($A214="","",TEXT($A214,"yyyy-mm-dd")&amp;"#"&amp;$H214)</f>
        <v/>
      </c>
    </row>
    <row r="215">
      <c r="A215" s="8" t="n"/>
      <c r="B215" s="9">
        <f>IF($A215="","",TEXT($A215,"ddd"))</f>
        <v/>
      </c>
      <c r="C215" s="4" t="n"/>
      <c r="D215" s="10" t="n"/>
      <c r="E215" s="11">
        <f>IF($C215="","",IFERROR(VLOOKUP($C215,TechRates,3,FALSE),0))</f>
        <v/>
      </c>
      <c r="F215" s="11">
        <f>IF(OR($A215="",$D215=""),"",CEILING($D215*$E215,RoundInc))</f>
        <v/>
      </c>
      <c r="G215" s="4" t="n"/>
      <c r="H215" s="9">
        <f>IF($A215="","",COUNTIF($A$2:$A215,$A215))</f>
        <v/>
      </c>
      <c r="I215" s="9">
        <f>IF($A215="","",TEXT($A215,"yyyy-mm-dd")&amp;"#"&amp;$H215)</f>
        <v/>
      </c>
    </row>
    <row r="216">
      <c r="A216" s="8" t="n"/>
      <c r="B216" s="9">
        <f>IF($A216="","",TEXT($A216,"ddd"))</f>
        <v/>
      </c>
      <c r="C216" s="4" t="n"/>
      <c r="D216" s="10" t="n"/>
      <c r="E216" s="11">
        <f>IF($C216="","",IFERROR(VLOOKUP($C216,TechRates,3,FALSE),0))</f>
        <v/>
      </c>
      <c r="F216" s="11">
        <f>IF(OR($A216="",$D216=""),"",CEILING($D216*$E216,RoundInc))</f>
        <v/>
      </c>
      <c r="G216" s="4" t="n"/>
      <c r="H216" s="9">
        <f>IF($A216="","",COUNTIF($A$2:$A216,$A216))</f>
        <v/>
      </c>
      <c r="I216" s="9">
        <f>IF($A216="","",TEXT($A216,"yyyy-mm-dd")&amp;"#"&amp;$H216)</f>
        <v/>
      </c>
    </row>
    <row r="217">
      <c r="A217" s="8" t="n"/>
      <c r="B217" s="9">
        <f>IF($A217="","",TEXT($A217,"ddd"))</f>
        <v/>
      </c>
      <c r="C217" s="4" t="n"/>
      <c r="D217" s="10" t="n"/>
      <c r="E217" s="11">
        <f>IF($C217="","",IFERROR(VLOOKUP($C217,TechRates,3,FALSE),0))</f>
        <v/>
      </c>
      <c r="F217" s="11">
        <f>IF(OR($A217="",$D217=""),"",CEILING($D217*$E217,RoundInc))</f>
        <v/>
      </c>
      <c r="G217" s="4" t="n"/>
      <c r="H217" s="9">
        <f>IF($A217="","",COUNTIF($A$2:$A217,$A217))</f>
        <v/>
      </c>
      <c r="I217" s="9">
        <f>IF($A217="","",TEXT($A217,"yyyy-mm-dd")&amp;"#"&amp;$H217)</f>
        <v/>
      </c>
    </row>
    <row r="218">
      <c r="A218" s="8" t="n"/>
      <c r="B218" s="9">
        <f>IF($A218="","",TEXT($A218,"ddd"))</f>
        <v/>
      </c>
      <c r="C218" s="4" t="n"/>
      <c r="D218" s="10" t="n"/>
      <c r="E218" s="11">
        <f>IF($C218="","",IFERROR(VLOOKUP($C218,TechRates,3,FALSE),0))</f>
        <v/>
      </c>
      <c r="F218" s="11">
        <f>IF(OR($A218="",$D218=""),"",CEILING($D218*$E218,RoundInc))</f>
        <v/>
      </c>
      <c r="G218" s="4" t="n"/>
      <c r="H218" s="9">
        <f>IF($A218="","",COUNTIF($A$2:$A218,$A218))</f>
        <v/>
      </c>
      <c r="I218" s="9">
        <f>IF($A218="","",TEXT($A218,"yyyy-mm-dd")&amp;"#"&amp;$H218)</f>
        <v/>
      </c>
    </row>
    <row r="219">
      <c r="A219" s="8" t="n"/>
      <c r="B219" s="9">
        <f>IF($A219="","",TEXT($A219,"ddd"))</f>
        <v/>
      </c>
      <c r="C219" s="4" t="n"/>
      <c r="D219" s="10" t="n"/>
      <c r="E219" s="11">
        <f>IF($C219="","",IFERROR(VLOOKUP($C219,TechRates,3,FALSE),0))</f>
        <v/>
      </c>
      <c r="F219" s="11">
        <f>IF(OR($A219="",$D219=""),"",CEILING($D219*$E219,RoundInc))</f>
        <v/>
      </c>
      <c r="G219" s="4" t="n"/>
      <c r="H219" s="9">
        <f>IF($A219="","",COUNTIF($A$2:$A219,$A219))</f>
        <v/>
      </c>
      <c r="I219" s="9">
        <f>IF($A219="","",TEXT($A219,"yyyy-mm-dd")&amp;"#"&amp;$H219)</f>
        <v/>
      </c>
    </row>
    <row r="220">
      <c r="A220" s="8" t="n"/>
      <c r="B220" s="9">
        <f>IF($A220="","",TEXT($A220,"ddd"))</f>
        <v/>
      </c>
      <c r="C220" s="4" t="n"/>
      <c r="D220" s="10" t="n"/>
      <c r="E220" s="11">
        <f>IF($C220="","",IFERROR(VLOOKUP($C220,TechRates,3,FALSE),0))</f>
        <v/>
      </c>
      <c r="F220" s="11">
        <f>IF(OR($A220="",$D220=""),"",CEILING($D220*$E220,RoundInc))</f>
        <v/>
      </c>
      <c r="G220" s="4" t="n"/>
      <c r="H220" s="9">
        <f>IF($A220="","",COUNTIF($A$2:$A220,$A220))</f>
        <v/>
      </c>
      <c r="I220" s="9">
        <f>IF($A220="","",TEXT($A220,"yyyy-mm-dd")&amp;"#"&amp;$H220)</f>
        <v/>
      </c>
    </row>
    <row r="221">
      <c r="A221" s="8" t="n"/>
      <c r="B221" s="9">
        <f>IF($A221="","",TEXT($A221,"ddd"))</f>
        <v/>
      </c>
      <c r="C221" s="4" t="n"/>
      <c r="D221" s="10" t="n"/>
      <c r="E221" s="11">
        <f>IF($C221="","",IFERROR(VLOOKUP($C221,TechRates,3,FALSE),0))</f>
        <v/>
      </c>
      <c r="F221" s="11">
        <f>IF(OR($A221="",$D221=""),"",CEILING($D221*$E221,RoundInc))</f>
        <v/>
      </c>
      <c r="G221" s="4" t="n"/>
      <c r="H221" s="9">
        <f>IF($A221="","",COUNTIF($A$2:$A221,$A221))</f>
        <v/>
      </c>
      <c r="I221" s="9">
        <f>IF($A221="","",TEXT($A221,"yyyy-mm-dd")&amp;"#"&amp;$H221)</f>
        <v/>
      </c>
    </row>
    <row r="222">
      <c r="A222" s="8" t="n"/>
      <c r="B222" s="9">
        <f>IF($A222="","",TEXT($A222,"ddd"))</f>
        <v/>
      </c>
      <c r="C222" s="4" t="n"/>
      <c r="D222" s="10" t="n"/>
      <c r="E222" s="11">
        <f>IF($C222="","",IFERROR(VLOOKUP($C222,TechRates,3,FALSE),0))</f>
        <v/>
      </c>
      <c r="F222" s="11">
        <f>IF(OR($A222="",$D222=""),"",CEILING($D222*$E222,RoundInc))</f>
        <v/>
      </c>
      <c r="G222" s="4" t="n"/>
      <c r="H222" s="9">
        <f>IF($A222="","",COUNTIF($A$2:$A222,$A222))</f>
        <v/>
      </c>
      <c r="I222" s="9">
        <f>IF($A222="","",TEXT($A222,"yyyy-mm-dd")&amp;"#"&amp;$H222)</f>
        <v/>
      </c>
    </row>
    <row r="223">
      <c r="A223" s="8" t="n"/>
      <c r="B223" s="9">
        <f>IF($A223="","",TEXT($A223,"ddd"))</f>
        <v/>
      </c>
      <c r="C223" s="4" t="n"/>
      <c r="D223" s="10" t="n"/>
      <c r="E223" s="11">
        <f>IF($C223="","",IFERROR(VLOOKUP($C223,TechRates,3,FALSE),0))</f>
        <v/>
      </c>
      <c r="F223" s="11">
        <f>IF(OR($A223="",$D223=""),"",CEILING($D223*$E223,RoundInc))</f>
        <v/>
      </c>
      <c r="G223" s="4" t="n"/>
      <c r="H223" s="9">
        <f>IF($A223="","",COUNTIF($A$2:$A223,$A223))</f>
        <v/>
      </c>
      <c r="I223" s="9">
        <f>IF($A223="","",TEXT($A223,"yyyy-mm-dd")&amp;"#"&amp;$H223)</f>
        <v/>
      </c>
    </row>
    <row r="224">
      <c r="A224" s="8" t="n"/>
      <c r="B224" s="9">
        <f>IF($A224="","",TEXT($A224,"ddd"))</f>
        <v/>
      </c>
      <c r="C224" s="4" t="n"/>
      <c r="D224" s="10" t="n"/>
      <c r="E224" s="11">
        <f>IF($C224="","",IFERROR(VLOOKUP($C224,TechRates,3,FALSE),0))</f>
        <v/>
      </c>
      <c r="F224" s="11">
        <f>IF(OR($A224="",$D224=""),"",CEILING($D224*$E224,RoundInc))</f>
        <v/>
      </c>
      <c r="G224" s="4" t="n"/>
      <c r="H224" s="9">
        <f>IF($A224="","",COUNTIF($A$2:$A224,$A224))</f>
        <v/>
      </c>
      <c r="I224" s="9">
        <f>IF($A224="","",TEXT($A224,"yyyy-mm-dd")&amp;"#"&amp;$H224)</f>
        <v/>
      </c>
    </row>
    <row r="225">
      <c r="A225" s="8" t="n"/>
      <c r="B225" s="9">
        <f>IF($A225="","",TEXT($A225,"ddd"))</f>
        <v/>
      </c>
      <c r="C225" s="4" t="n"/>
      <c r="D225" s="10" t="n"/>
      <c r="E225" s="11">
        <f>IF($C225="","",IFERROR(VLOOKUP($C225,TechRates,3,FALSE),0))</f>
        <v/>
      </c>
      <c r="F225" s="11">
        <f>IF(OR($A225="",$D225=""),"",CEILING($D225*$E225,RoundInc))</f>
        <v/>
      </c>
      <c r="G225" s="4" t="n"/>
      <c r="H225" s="9">
        <f>IF($A225="","",COUNTIF($A$2:$A225,$A225))</f>
        <v/>
      </c>
      <c r="I225" s="9">
        <f>IF($A225="","",TEXT($A225,"yyyy-mm-dd")&amp;"#"&amp;$H225)</f>
        <v/>
      </c>
    </row>
    <row r="226">
      <c r="A226" s="8" t="n"/>
      <c r="B226" s="9">
        <f>IF($A226="","",TEXT($A226,"ddd"))</f>
        <v/>
      </c>
      <c r="C226" s="4" t="n"/>
      <c r="D226" s="10" t="n"/>
      <c r="E226" s="11">
        <f>IF($C226="","",IFERROR(VLOOKUP($C226,TechRates,3,FALSE),0))</f>
        <v/>
      </c>
      <c r="F226" s="11">
        <f>IF(OR($A226="",$D226=""),"",CEILING($D226*$E226,RoundInc))</f>
        <v/>
      </c>
      <c r="G226" s="4" t="n"/>
      <c r="H226" s="9">
        <f>IF($A226="","",COUNTIF($A$2:$A226,$A226))</f>
        <v/>
      </c>
      <c r="I226" s="9">
        <f>IF($A226="","",TEXT($A226,"yyyy-mm-dd")&amp;"#"&amp;$H226)</f>
        <v/>
      </c>
    </row>
    <row r="227">
      <c r="A227" s="8" t="n"/>
      <c r="B227" s="9">
        <f>IF($A227="","",TEXT($A227,"ddd"))</f>
        <v/>
      </c>
      <c r="C227" s="4" t="n"/>
      <c r="D227" s="10" t="n"/>
      <c r="E227" s="11">
        <f>IF($C227="","",IFERROR(VLOOKUP($C227,TechRates,3,FALSE),0))</f>
        <v/>
      </c>
      <c r="F227" s="11">
        <f>IF(OR($A227="",$D227=""),"",CEILING($D227*$E227,RoundInc))</f>
        <v/>
      </c>
      <c r="G227" s="4" t="n"/>
      <c r="H227" s="9">
        <f>IF($A227="","",COUNTIF($A$2:$A227,$A227))</f>
        <v/>
      </c>
      <c r="I227" s="9">
        <f>IF($A227="","",TEXT($A227,"yyyy-mm-dd")&amp;"#"&amp;$H227)</f>
        <v/>
      </c>
    </row>
    <row r="228">
      <c r="A228" s="8" t="n"/>
      <c r="B228" s="9">
        <f>IF($A228="","",TEXT($A228,"ddd"))</f>
        <v/>
      </c>
      <c r="C228" s="4" t="n"/>
      <c r="D228" s="10" t="n"/>
      <c r="E228" s="11">
        <f>IF($C228="","",IFERROR(VLOOKUP($C228,TechRates,3,FALSE),0))</f>
        <v/>
      </c>
      <c r="F228" s="11">
        <f>IF(OR($A228="",$D228=""),"",CEILING($D228*$E228,RoundInc))</f>
        <v/>
      </c>
      <c r="G228" s="4" t="n"/>
      <c r="H228" s="9">
        <f>IF($A228="","",COUNTIF($A$2:$A228,$A228))</f>
        <v/>
      </c>
      <c r="I228" s="9">
        <f>IF($A228="","",TEXT($A228,"yyyy-mm-dd")&amp;"#"&amp;$H228)</f>
        <v/>
      </c>
    </row>
    <row r="229">
      <c r="A229" s="8" t="n"/>
      <c r="B229" s="9">
        <f>IF($A229="","",TEXT($A229,"ddd"))</f>
        <v/>
      </c>
      <c r="C229" s="4" t="n"/>
      <c r="D229" s="10" t="n"/>
      <c r="E229" s="11">
        <f>IF($C229="","",IFERROR(VLOOKUP($C229,TechRates,3,FALSE),0))</f>
        <v/>
      </c>
      <c r="F229" s="11">
        <f>IF(OR($A229="",$D229=""),"",CEILING($D229*$E229,RoundInc))</f>
        <v/>
      </c>
      <c r="G229" s="4" t="n"/>
      <c r="H229" s="9">
        <f>IF($A229="","",COUNTIF($A$2:$A229,$A229))</f>
        <v/>
      </c>
      <c r="I229" s="9">
        <f>IF($A229="","",TEXT($A229,"yyyy-mm-dd")&amp;"#"&amp;$H229)</f>
        <v/>
      </c>
    </row>
    <row r="230">
      <c r="A230" s="8" t="n"/>
      <c r="B230" s="9">
        <f>IF($A230="","",TEXT($A230,"ddd"))</f>
        <v/>
      </c>
      <c r="C230" s="4" t="n"/>
      <c r="D230" s="10" t="n"/>
      <c r="E230" s="11">
        <f>IF($C230="","",IFERROR(VLOOKUP($C230,TechRates,3,FALSE),0))</f>
        <v/>
      </c>
      <c r="F230" s="11">
        <f>IF(OR($A230="",$D230=""),"",CEILING($D230*$E230,RoundInc))</f>
        <v/>
      </c>
      <c r="G230" s="4" t="n"/>
      <c r="H230" s="9">
        <f>IF($A230="","",COUNTIF($A$2:$A230,$A230))</f>
        <v/>
      </c>
      <c r="I230" s="9">
        <f>IF($A230="","",TEXT($A230,"yyyy-mm-dd")&amp;"#"&amp;$H230)</f>
        <v/>
      </c>
    </row>
    <row r="231">
      <c r="A231" s="8" t="n"/>
      <c r="B231" s="9">
        <f>IF($A231="","",TEXT($A231,"ddd"))</f>
        <v/>
      </c>
      <c r="C231" s="4" t="n"/>
      <c r="D231" s="10" t="n"/>
      <c r="E231" s="11">
        <f>IF($C231="","",IFERROR(VLOOKUP($C231,TechRates,3,FALSE),0))</f>
        <v/>
      </c>
      <c r="F231" s="11">
        <f>IF(OR($A231="",$D231=""),"",CEILING($D231*$E231,RoundInc))</f>
        <v/>
      </c>
      <c r="G231" s="4" t="n"/>
      <c r="H231" s="9">
        <f>IF($A231="","",COUNTIF($A$2:$A231,$A231))</f>
        <v/>
      </c>
      <c r="I231" s="9">
        <f>IF($A231="","",TEXT($A231,"yyyy-mm-dd")&amp;"#"&amp;$H231)</f>
        <v/>
      </c>
    </row>
    <row r="232">
      <c r="A232" s="8" t="n"/>
      <c r="B232" s="9">
        <f>IF($A232="","",TEXT($A232,"ddd"))</f>
        <v/>
      </c>
      <c r="C232" s="4" t="n"/>
      <c r="D232" s="10" t="n"/>
      <c r="E232" s="11">
        <f>IF($C232="","",IFERROR(VLOOKUP($C232,TechRates,3,FALSE),0))</f>
        <v/>
      </c>
      <c r="F232" s="11">
        <f>IF(OR($A232="",$D232=""),"",CEILING($D232*$E232,RoundInc))</f>
        <v/>
      </c>
      <c r="G232" s="4" t="n"/>
      <c r="H232" s="9">
        <f>IF($A232="","",COUNTIF($A$2:$A232,$A232))</f>
        <v/>
      </c>
      <c r="I232" s="9">
        <f>IF($A232="","",TEXT($A232,"yyyy-mm-dd")&amp;"#"&amp;$H232)</f>
        <v/>
      </c>
    </row>
    <row r="233">
      <c r="A233" s="8" t="n"/>
      <c r="B233" s="9">
        <f>IF($A233="","",TEXT($A233,"ddd"))</f>
        <v/>
      </c>
      <c r="C233" s="4" t="n"/>
      <c r="D233" s="10" t="n"/>
      <c r="E233" s="11">
        <f>IF($C233="","",IFERROR(VLOOKUP($C233,TechRates,3,FALSE),0))</f>
        <v/>
      </c>
      <c r="F233" s="11">
        <f>IF(OR($A233="",$D233=""),"",CEILING($D233*$E233,RoundInc))</f>
        <v/>
      </c>
      <c r="G233" s="4" t="n"/>
      <c r="H233" s="9">
        <f>IF($A233="","",COUNTIF($A$2:$A233,$A233))</f>
        <v/>
      </c>
      <c r="I233" s="9">
        <f>IF($A233="","",TEXT($A233,"yyyy-mm-dd")&amp;"#"&amp;$H233)</f>
        <v/>
      </c>
    </row>
    <row r="234">
      <c r="A234" s="8" t="n"/>
      <c r="B234" s="9">
        <f>IF($A234="","",TEXT($A234,"ddd"))</f>
        <v/>
      </c>
      <c r="C234" s="4" t="n"/>
      <c r="D234" s="10" t="n"/>
      <c r="E234" s="11">
        <f>IF($C234="","",IFERROR(VLOOKUP($C234,TechRates,3,FALSE),0))</f>
        <v/>
      </c>
      <c r="F234" s="11">
        <f>IF(OR($A234="",$D234=""),"",CEILING($D234*$E234,RoundInc))</f>
        <v/>
      </c>
      <c r="G234" s="4" t="n"/>
      <c r="H234" s="9">
        <f>IF($A234="","",COUNTIF($A$2:$A234,$A234))</f>
        <v/>
      </c>
      <c r="I234" s="9">
        <f>IF($A234="","",TEXT($A234,"yyyy-mm-dd")&amp;"#"&amp;$H234)</f>
        <v/>
      </c>
    </row>
    <row r="235">
      <c r="A235" s="8" t="n"/>
      <c r="B235" s="9">
        <f>IF($A235="","",TEXT($A235,"ddd"))</f>
        <v/>
      </c>
      <c r="C235" s="4" t="n"/>
      <c r="D235" s="10" t="n"/>
      <c r="E235" s="11">
        <f>IF($C235="","",IFERROR(VLOOKUP($C235,TechRates,3,FALSE),0))</f>
        <v/>
      </c>
      <c r="F235" s="11">
        <f>IF(OR($A235="",$D235=""),"",CEILING($D235*$E235,RoundInc))</f>
        <v/>
      </c>
      <c r="G235" s="4" t="n"/>
      <c r="H235" s="9">
        <f>IF($A235="","",COUNTIF($A$2:$A235,$A235))</f>
        <v/>
      </c>
      <c r="I235" s="9">
        <f>IF($A235="","",TEXT($A235,"yyyy-mm-dd")&amp;"#"&amp;$H235)</f>
        <v/>
      </c>
    </row>
    <row r="236">
      <c r="A236" s="8" t="n"/>
      <c r="B236" s="9">
        <f>IF($A236="","",TEXT($A236,"ddd"))</f>
        <v/>
      </c>
      <c r="C236" s="4" t="n"/>
      <c r="D236" s="10" t="n"/>
      <c r="E236" s="11">
        <f>IF($C236="","",IFERROR(VLOOKUP($C236,TechRates,3,FALSE),0))</f>
        <v/>
      </c>
      <c r="F236" s="11">
        <f>IF(OR($A236="",$D236=""),"",CEILING($D236*$E236,RoundInc))</f>
        <v/>
      </c>
      <c r="G236" s="4" t="n"/>
      <c r="H236" s="9">
        <f>IF($A236="","",COUNTIF($A$2:$A236,$A236))</f>
        <v/>
      </c>
      <c r="I236" s="9">
        <f>IF($A236="","",TEXT($A236,"yyyy-mm-dd")&amp;"#"&amp;$H236)</f>
        <v/>
      </c>
    </row>
    <row r="237">
      <c r="A237" s="8" t="n"/>
      <c r="B237" s="9">
        <f>IF($A237="","",TEXT($A237,"ddd"))</f>
        <v/>
      </c>
      <c r="C237" s="4" t="n"/>
      <c r="D237" s="10" t="n"/>
      <c r="E237" s="11">
        <f>IF($C237="","",IFERROR(VLOOKUP($C237,TechRates,3,FALSE),0))</f>
        <v/>
      </c>
      <c r="F237" s="11">
        <f>IF(OR($A237="",$D237=""),"",CEILING($D237*$E237,RoundInc))</f>
        <v/>
      </c>
      <c r="G237" s="4" t="n"/>
      <c r="H237" s="9">
        <f>IF($A237="","",COUNTIF($A$2:$A237,$A237))</f>
        <v/>
      </c>
      <c r="I237" s="9">
        <f>IF($A237="","",TEXT($A237,"yyyy-mm-dd")&amp;"#"&amp;$H237)</f>
        <v/>
      </c>
    </row>
    <row r="238">
      <c r="A238" s="8" t="n"/>
      <c r="B238" s="9">
        <f>IF($A238="","",TEXT($A238,"ddd"))</f>
        <v/>
      </c>
      <c r="C238" s="4" t="n"/>
      <c r="D238" s="10" t="n"/>
      <c r="E238" s="11">
        <f>IF($C238="","",IFERROR(VLOOKUP($C238,TechRates,3,FALSE),0))</f>
        <v/>
      </c>
      <c r="F238" s="11">
        <f>IF(OR($A238="",$D238=""),"",CEILING($D238*$E238,RoundInc))</f>
        <v/>
      </c>
      <c r="G238" s="4" t="n"/>
      <c r="H238" s="9">
        <f>IF($A238="","",COUNTIF($A$2:$A238,$A238))</f>
        <v/>
      </c>
      <c r="I238" s="9">
        <f>IF($A238="","",TEXT($A238,"yyyy-mm-dd")&amp;"#"&amp;$H238)</f>
        <v/>
      </c>
    </row>
    <row r="239">
      <c r="A239" s="8" t="n"/>
      <c r="B239" s="9">
        <f>IF($A239="","",TEXT($A239,"ddd"))</f>
        <v/>
      </c>
      <c r="C239" s="4" t="n"/>
      <c r="D239" s="10" t="n"/>
      <c r="E239" s="11">
        <f>IF($C239="","",IFERROR(VLOOKUP($C239,TechRates,3,FALSE),0))</f>
        <v/>
      </c>
      <c r="F239" s="11">
        <f>IF(OR($A239="",$D239=""),"",CEILING($D239*$E239,RoundInc))</f>
        <v/>
      </c>
      <c r="G239" s="4" t="n"/>
      <c r="H239" s="9">
        <f>IF($A239="","",COUNTIF($A$2:$A239,$A239))</f>
        <v/>
      </c>
      <c r="I239" s="9">
        <f>IF($A239="","",TEXT($A239,"yyyy-mm-dd")&amp;"#"&amp;$H239)</f>
        <v/>
      </c>
    </row>
    <row r="240">
      <c r="A240" s="8" t="n"/>
      <c r="B240" s="9">
        <f>IF($A240="","",TEXT($A240,"ddd"))</f>
        <v/>
      </c>
      <c r="C240" s="4" t="n"/>
      <c r="D240" s="10" t="n"/>
      <c r="E240" s="11">
        <f>IF($C240="","",IFERROR(VLOOKUP($C240,TechRates,3,FALSE),0))</f>
        <v/>
      </c>
      <c r="F240" s="11">
        <f>IF(OR($A240="",$D240=""),"",CEILING($D240*$E240,RoundInc))</f>
        <v/>
      </c>
      <c r="G240" s="4" t="n"/>
      <c r="H240" s="9">
        <f>IF($A240="","",COUNTIF($A$2:$A240,$A240))</f>
        <v/>
      </c>
      <c r="I240" s="9">
        <f>IF($A240="","",TEXT($A240,"yyyy-mm-dd")&amp;"#"&amp;$H240)</f>
        <v/>
      </c>
    </row>
    <row r="241">
      <c r="A241" s="8" t="n"/>
      <c r="B241" s="9">
        <f>IF($A241="","",TEXT($A241,"ddd"))</f>
        <v/>
      </c>
      <c r="C241" s="4" t="n"/>
      <c r="D241" s="10" t="n"/>
      <c r="E241" s="11">
        <f>IF($C241="","",IFERROR(VLOOKUP($C241,TechRates,3,FALSE),0))</f>
        <v/>
      </c>
      <c r="F241" s="11">
        <f>IF(OR($A241="",$D241=""),"",CEILING($D241*$E241,RoundInc))</f>
        <v/>
      </c>
      <c r="G241" s="4" t="n"/>
      <c r="H241" s="9">
        <f>IF($A241="","",COUNTIF($A$2:$A241,$A241))</f>
        <v/>
      </c>
      <c r="I241" s="9">
        <f>IF($A241="","",TEXT($A241,"yyyy-mm-dd")&amp;"#"&amp;$H241)</f>
        <v/>
      </c>
    </row>
    <row r="242">
      <c r="A242" s="8" t="n"/>
      <c r="B242" s="9">
        <f>IF($A242="","",TEXT($A242,"ddd"))</f>
        <v/>
      </c>
      <c r="C242" s="4" t="n"/>
      <c r="D242" s="10" t="n"/>
      <c r="E242" s="11">
        <f>IF($C242="","",IFERROR(VLOOKUP($C242,TechRates,3,FALSE),0))</f>
        <v/>
      </c>
      <c r="F242" s="11">
        <f>IF(OR($A242="",$D242=""),"",CEILING($D242*$E242,RoundInc))</f>
        <v/>
      </c>
      <c r="G242" s="4" t="n"/>
      <c r="H242" s="9">
        <f>IF($A242="","",COUNTIF($A$2:$A242,$A242))</f>
        <v/>
      </c>
      <c r="I242" s="9">
        <f>IF($A242="","",TEXT($A242,"yyyy-mm-dd")&amp;"#"&amp;$H242)</f>
        <v/>
      </c>
    </row>
    <row r="243">
      <c r="A243" s="8" t="n"/>
      <c r="B243" s="9">
        <f>IF($A243="","",TEXT($A243,"ddd"))</f>
        <v/>
      </c>
      <c r="C243" s="4" t="n"/>
      <c r="D243" s="10" t="n"/>
      <c r="E243" s="11">
        <f>IF($C243="","",IFERROR(VLOOKUP($C243,TechRates,3,FALSE),0))</f>
        <v/>
      </c>
      <c r="F243" s="11">
        <f>IF(OR($A243="",$D243=""),"",CEILING($D243*$E243,RoundInc))</f>
        <v/>
      </c>
      <c r="G243" s="4" t="n"/>
      <c r="H243" s="9">
        <f>IF($A243="","",COUNTIF($A$2:$A243,$A243))</f>
        <v/>
      </c>
      <c r="I243" s="9">
        <f>IF($A243="","",TEXT($A243,"yyyy-mm-dd")&amp;"#"&amp;$H243)</f>
        <v/>
      </c>
    </row>
    <row r="244">
      <c r="A244" s="8" t="n"/>
      <c r="B244" s="9">
        <f>IF($A244="","",TEXT($A244,"ddd"))</f>
        <v/>
      </c>
      <c r="C244" s="4" t="n"/>
      <c r="D244" s="10" t="n"/>
      <c r="E244" s="11">
        <f>IF($C244="","",IFERROR(VLOOKUP($C244,TechRates,3,FALSE),0))</f>
        <v/>
      </c>
      <c r="F244" s="11">
        <f>IF(OR($A244="",$D244=""),"",CEILING($D244*$E244,RoundInc))</f>
        <v/>
      </c>
      <c r="G244" s="4" t="n"/>
      <c r="H244" s="9">
        <f>IF($A244="","",COUNTIF($A$2:$A244,$A244))</f>
        <v/>
      </c>
      <c r="I244" s="9">
        <f>IF($A244="","",TEXT($A244,"yyyy-mm-dd")&amp;"#"&amp;$H244)</f>
        <v/>
      </c>
    </row>
    <row r="245">
      <c r="A245" s="8" t="n"/>
      <c r="B245" s="9">
        <f>IF($A245="","",TEXT($A245,"ddd"))</f>
        <v/>
      </c>
      <c r="C245" s="4" t="n"/>
      <c r="D245" s="10" t="n"/>
      <c r="E245" s="11">
        <f>IF($C245="","",IFERROR(VLOOKUP($C245,TechRates,3,FALSE),0))</f>
        <v/>
      </c>
      <c r="F245" s="11">
        <f>IF(OR($A245="",$D245=""),"",CEILING($D245*$E245,RoundInc))</f>
        <v/>
      </c>
      <c r="G245" s="4" t="n"/>
      <c r="H245" s="9">
        <f>IF($A245="","",COUNTIF($A$2:$A245,$A245))</f>
        <v/>
      </c>
      <c r="I245" s="9">
        <f>IF($A245="","",TEXT($A245,"yyyy-mm-dd")&amp;"#"&amp;$H245)</f>
        <v/>
      </c>
    </row>
    <row r="246">
      <c r="A246" s="8" t="n"/>
      <c r="B246" s="9">
        <f>IF($A246="","",TEXT($A246,"ddd"))</f>
        <v/>
      </c>
      <c r="C246" s="4" t="n"/>
      <c r="D246" s="10" t="n"/>
      <c r="E246" s="11">
        <f>IF($C246="","",IFERROR(VLOOKUP($C246,TechRates,3,FALSE),0))</f>
        <v/>
      </c>
      <c r="F246" s="11">
        <f>IF(OR($A246="",$D246=""),"",CEILING($D246*$E246,RoundInc))</f>
        <v/>
      </c>
      <c r="G246" s="4" t="n"/>
      <c r="H246" s="9">
        <f>IF($A246="","",COUNTIF($A$2:$A246,$A246))</f>
        <v/>
      </c>
      <c r="I246" s="9">
        <f>IF($A246="","",TEXT($A246,"yyyy-mm-dd")&amp;"#"&amp;$H246)</f>
        <v/>
      </c>
    </row>
    <row r="247">
      <c r="A247" s="8" t="n"/>
      <c r="B247" s="9">
        <f>IF($A247="","",TEXT($A247,"ddd"))</f>
        <v/>
      </c>
      <c r="C247" s="4" t="n"/>
      <c r="D247" s="10" t="n"/>
      <c r="E247" s="11">
        <f>IF($C247="","",IFERROR(VLOOKUP($C247,TechRates,3,FALSE),0))</f>
        <v/>
      </c>
      <c r="F247" s="11">
        <f>IF(OR($A247="",$D247=""),"",CEILING($D247*$E247,RoundInc))</f>
        <v/>
      </c>
      <c r="G247" s="4" t="n"/>
      <c r="H247" s="9">
        <f>IF($A247="","",COUNTIF($A$2:$A247,$A247))</f>
        <v/>
      </c>
      <c r="I247" s="9">
        <f>IF($A247="","",TEXT($A247,"yyyy-mm-dd")&amp;"#"&amp;$H247)</f>
        <v/>
      </c>
    </row>
    <row r="248">
      <c r="A248" s="8" t="n"/>
      <c r="B248" s="9">
        <f>IF($A248="","",TEXT($A248,"ddd"))</f>
        <v/>
      </c>
      <c r="C248" s="4" t="n"/>
      <c r="D248" s="10" t="n"/>
      <c r="E248" s="11">
        <f>IF($C248="","",IFERROR(VLOOKUP($C248,TechRates,3,FALSE),0))</f>
        <v/>
      </c>
      <c r="F248" s="11">
        <f>IF(OR($A248="",$D248=""),"",CEILING($D248*$E248,RoundInc))</f>
        <v/>
      </c>
      <c r="G248" s="4" t="n"/>
      <c r="H248" s="9">
        <f>IF($A248="","",COUNTIF($A$2:$A248,$A248))</f>
        <v/>
      </c>
      <c r="I248" s="9">
        <f>IF($A248="","",TEXT($A248,"yyyy-mm-dd")&amp;"#"&amp;$H248)</f>
        <v/>
      </c>
    </row>
    <row r="249">
      <c r="A249" s="8" t="n"/>
      <c r="B249" s="9">
        <f>IF($A249="","",TEXT($A249,"ddd"))</f>
        <v/>
      </c>
      <c r="C249" s="4" t="n"/>
      <c r="D249" s="10" t="n"/>
      <c r="E249" s="11">
        <f>IF($C249="","",IFERROR(VLOOKUP($C249,TechRates,3,FALSE),0))</f>
        <v/>
      </c>
      <c r="F249" s="11">
        <f>IF(OR($A249="",$D249=""),"",CEILING($D249*$E249,RoundInc))</f>
        <v/>
      </c>
      <c r="G249" s="4" t="n"/>
      <c r="H249" s="9">
        <f>IF($A249="","",COUNTIF($A$2:$A249,$A249))</f>
        <v/>
      </c>
      <c r="I249" s="9">
        <f>IF($A249="","",TEXT($A249,"yyyy-mm-dd")&amp;"#"&amp;$H249)</f>
        <v/>
      </c>
    </row>
    <row r="250">
      <c r="A250" s="8" t="n"/>
      <c r="B250" s="9">
        <f>IF($A250="","",TEXT($A250,"ddd"))</f>
        <v/>
      </c>
      <c r="C250" s="4" t="n"/>
      <c r="D250" s="10" t="n"/>
      <c r="E250" s="11">
        <f>IF($C250="","",IFERROR(VLOOKUP($C250,TechRates,3,FALSE),0))</f>
        <v/>
      </c>
      <c r="F250" s="11">
        <f>IF(OR($A250="",$D250=""),"",CEILING($D250*$E250,RoundInc))</f>
        <v/>
      </c>
      <c r="G250" s="4" t="n"/>
      <c r="H250" s="9">
        <f>IF($A250="","",COUNTIF($A$2:$A250,$A250))</f>
        <v/>
      </c>
      <c r="I250" s="9">
        <f>IF($A250="","",TEXT($A250,"yyyy-mm-dd")&amp;"#"&amp;$H250)</f>
        <v/>
      </c>
    </row>
    <row r="251">
      <c r="A251" s="8" t="n"/>
      <c r="B251" s="9">
        <f>IF($A251="","",TEXT($A251,"ddd"))</f>
        <v/>
      </c>
      <c r="C251" s="4" t="n"/>
      <c r="D251" s="10" t="n"/>
      <c r="E251" s="11">
        <f>IF($C251="","",IFERROR(VLOOKUP($C251,TechRates,3,FALSE),0))</f>
        <v/>
      </c>
      <c r="F251" s="11">
        <f>IF(OR($A251="",$D251=""),"",CEILING($D251*$E251,RoundInc))</f>
        <v/>
      </c>
      <c r="G251" s="4" t="n"/>
      <c r="H251" s="9">
        <f>IF($A251="","",COUNTIF($A$2:$A251,$A251))</f>
        <v/>
      </c>
      <c r="I251" s="9">
        <f>IF($A251="","",TEXT($A251,"yyyy-mm-dd")&amp;"#"&amp;$H251)</f>
        <v/>
      </c>
    </row>
    <row r="252">
      <c r="A252" s="8" t="n"/>
      <c r="B252" s="9">
        <f>IF($A252="","",TEXT($A252,"ddd"))</f>
        <v/>
      </c>
      <c r="C252" s="4" t="n"/>
      <c r="D252" s="10" t="n"/>
      <c r="E252" s="11">
        <f>IF($C252="","",IFERROR(VLOOKUP($C252,TechRates,3,FALSE),0))</f>
        <v/>
      </c>
      <c r="F252" s="11">
        <f>IF(OR($A252="",$D252=""),"",CEILING($D252*$E252,RoundInc))</f>
        <v/>
      </c>
      <c r="G252" s="4" t="n"/>
      <c r="H252" s="9">
        <f>IF($A252="","",COUNTIF($A$2:$A252,$A252))</f>
        <v/>
      </c>
      <c r="I252" s="9">
        <f>IF($A252="","",TEXT($A252,"yyyy-mm-dd")&amp;"#"&amp;$H252)</f>
        <v/>
      </c>
    </row>
    <row r="253">
      <c r="A253" s="8" t="n"/>
      <c r="B253" s="9">
        <f>IF($A253="","",TEXT($A253,"ddd"))</f>
        <v/>
      </c>
      <c r="C253" s="4" t="n"/>
      <c r="D253" s="10" t="n"/>
      <c r="E253" s="11">
        <f>IF($C253="","",IFERROR(VLOOKUP($C253,TechRates,3,FALSE),0))</f>
        <v/>
      </c>
      <c r="F253" s="11">
        <f>IF(OR($A253="",$D253=""),"",CEILING($D253*$E253,RoundInc))</f>
        <v/>
      </c>
      <c r="G253" s="4" t="n"/>
      <c r="H253" s="9">
        <f>IF($A253="","",COUNTIF($A$2:$A253,$A253))</f>
        <v/>
      </c>
      <c r="I253" s="9">
        <f>IF($A253="","",TEXT($A253,"yyyy-mm-dd")&amp;"#"&amp;$H253)</f>
        <v/>
      </c>
    </row>
    <row r="254">
      <c r="A254" s="8" t="n"/>
      <c r="B254" s="9">
        <f>IF($A254="","",TEXT($A254,"ddd"))</f>
        <v/>
      </c>
      <c r="C254" s="4" t="n"/>
      <c r="D254" s="10" t="n"/>
      <c r="E254" s="11">
        <f>IF($C254="","",IFERROR(VLOOKUP($C254,TechRates,3,FALSE),0))</f>
        <v/>
      </c>
      <c r="F254" s="11">
        <f>IF(OR($A254="",$D254=""),"",CEILING($D254*$E254,RoundInc))</f>
        <v/>
      </c>
      <c r="G254" s="4" t="n"/>
      <c r="H254" s="9">
        <f>IF($A254="","",COUNTIF($A$2:$A254,$A254))</f>
        <v/>
      </c>
      <c r="I254" s="9">
        <f>IF($A254="","",TEXT($A254,"yyyy-mm-dd")&amp;"#"&amp;$H254)</f>
        <v/>
      </c>
    </row>
    <row r="255">
      <c r="A255" s="8" t="n"/>
      <c r="B255" s="9">
        <f>IF($A255="","",TEXT($A255,"ddd"))</f>
        <v/>
      </c>
      <c r="C255" s="4" t="n"/>
      <c r="D255" s="10" t="n"/>
      <c r="E255" s="11">
        <f>IF($C255="","",IFERROR(VLOOKUP($C255,TechRates,3,FALSE),0))</f>
        <v/>
      </c>
      <c r="F255" s="11">
        <f>IF(OR($A255="",$D255=""),"",CEILING($D255*$E255,RoundInc))</f>
        <v/>
      </c>
      <c r="G255" s="4" t="n"/>
      <c r="H255" s="9">
        <f>IF($A255="","",COUNTIF($A$2:$A255,$A255))</f>
        <v/>
      </c>
      <c r="I255" s="9">
        <f>IF($A255="","",TEXT($A255,"yyyy-mm-dd")&amp;"#"&amp;$H255)</f>
        <v/>
      </c>
    </row>
    <row r="256">
      <c r="A256" s="8" t="n"/>
      <c r="B256" s="9">
        <f>IF($A256="","",TEXT($A256,"ddd"))</f>
        <v/>
      </c>
      <c r="C256" s="4" t="n"/>
      <c r="D256" s="10" t="n"/>
      <c r="E256" s="11">
        <f>IF($C256="","",IFERROR(VLOOKUP($C256,TechRates,3,FALSE),0))</f>
        <v/>
      </c>
      <c r="F256" s="11">
        <f>IF(OR($A256="",$D256=""),"",CEILING($D256*$E256,RoundInc))</f>
        <v/>
      </c>
      <c r="G256" s="4" t="n"/>
      <c r="H256" s="9">
        <f>IF($A256="","",COUNTIF($A$2:$A256,$A256))</f>
        <v/>
      </c>
      <c r="I256" s="9">
        <f>IF($A256="","",TEXT($A256,"yyyy-mm-dd")&amp;"#"&amp;$H256)</f>
        <v/>
      </c>
    </row>
    <row r="257">
      <c r="A257" s="8" t="n"/>
      <c r="B257" s="9">
        <f>IF($A257="","",TEXT($A257,"ddd"))</f>
        <v/>
      </c>
      <c r="C257" s="4" t="n"/>
      <c r="D257" s="10" t="n"/>
      <c r="E257" s="11">
        <f>IF($C257="","",IFERROR(VLOOKUP($C257,TechRates,3,FALSE),0))</f>
        <v/>
      </c>
      <c r="F257" s="11">
        <f>IF(OR($A257="",$D257=""),"",CEILING($D257*$E257,RoundInc))</f>
        <v/>
      </c>
      <c r="G257" s="4" t="n"/>
      <c r="H257" s="9">
        <f>IF($A257="","",COUNTIF($A$2:$A257,$A257))</f>
        <v/>
      </c>
      <c r="I257" s="9">
        <f>IF($A257="","",TEXT($A257,"yyyy-mm-dd")&amp;"#"&amp;$H257)</f>
        <v/>
      </c>
    </row>
    <row r="258">
      <c r="A258" s="8" t="n"/>
      <c r="B258" s="9">
        <f>IF($A258="","",TEXT($A258,"ddd"))</f>
        <v/>
      </c>
      <c r="C258" s="4" t="n"/>
      <c r="D258" s="10" t="n"/>
      <c r="E258" s="11">
        <f>IF($C258="","",IFERROR(VLOOKUP($C258,TechRates,3,FALSE),0))</f>
        <v/>
      </c>
      <c r="F258" s="11">
        <f>IF(OR($A258="",$D258=""),"",CEILING($D258*$E258,RoundInc))</f>
        <v/>
      </c>
      <c r="G258" s="4" t="n"/>
      <c r="H258" s="9">
        <f>IF($A258="","",COUNTIF($A$2:$A258,$A258))</f>
        <v/>
      </c>
      <c r="I258" s="9">
        <f>IF($A258="","",TEXT($A258,"yyyy-mm-dd")&amp;"#"&amp;$H258)</f>
        <v/>
      </c>
    </row>
    <row r="259">
      <c r="A259" s="8" t="n"/>
      <c r="B259" s="9">
        <f>IF($A259="","",TEXT($A259,"ddd"))</f>
        <v/>
      </c>
      <c r="C259" s="4" t="n"/>
      <c r="D259" s="10" t="n"/>
      <c r="E259" s="11">
        <f>IF($C259="","",IFERROR(VLOOKUP($C259,TechRates,3,FALSE),0))</f>
        <v/>
      </c>
      <c r="F259" s="11">
        <f>IF(OR($A259="",$D259=""),"",CEILING($D259*$E259,RoundInc))</f>
        <v/>
      </c>
      <c r="G259" s="4" t="n"/>
      <c r="H259" s="9">
        <f>IF($A259="","",COUNTIF($A$2:$A259,$A259))</f>
        <v/>
      </c>
      <c r="I259" s="9">
        <f>IF($A259="","",TEXT($A259,"yyyy-mm-dd")&amp;"#"&amp;$H259)</f>
        <v/>
      </c>
    </row>
    <row r="260">
      <c r="A260" s="8" t="n"/>
      <c r="B260" s="9">
        <f>IF($A260="","",TEXT($A260,"ddd"))</f>
        <v/>
      </c>
      <c r="C260" s="4" t="n"/>
      <c r="D260" s="10" t="n"/>
      <c r="E260" s="11">
        <f>IF($C260="","",IFERROR(VLOOKUP($C260,TechRates,3,FALSE),0))</f>
        <v/>
      </c>
      <c r="F260" s="11">
        <f>IF(OR($A260="",$D260=""),"",CEILING($D260*$E260,RoundInc))</f>
        <v/>
      </c>
      <c r="G260" s="4" t="n"/>
      <c r="H260" s="9">
        <f>IF($A260="","",COUNTIF($A$2:$A260,$A260))</f>
        <v/>
      </c>
      <c r="I260" s="9">
        <f>IF($A260="","",TEXT($A260,"yyyy-mm-dd")&amp;"#"&amp;$H260)</f>
        <v/>
      </c>
    </row>
    <row r="261">
      <c r="A261" s="8" t="n"/>
      <c r="B261" s="9">
        <f>IF($A261="","",TEXT($A261,"ddd"))</f>
        <v/>
      </c>
      <c r="C261" s="4" t="n"/>
      <c r="D261" s="10" t="n"/>
      <c r="E261" s="11">
        <f>IF($C261="","",IFERROR(VLOOKUP($C261,TechRates,3,FALSE),0))</f>
        <v/>
      </c>
      <c r="F261" s="11">
        <f>IF(OR($A261="",$D261=""),"",CEILING($D261*$E261,RoundInc))</f>
        <v/>
      </c>
      <c r="G261" s="4" t="n"/>
      <c r="H261" s="9">
        <f>IF($A261="","",COUNTIF($A$2:$A261,$A261))</f>
        <v/>
      </c>
      <c r="I261" s="9">
        <f>IF($A261="","",TEXT($A261,"yyyy-mm-dd")&amp;"#"&amp;$H261)</f>
        <v/>
      </c>
    </row>
    <row r="262">
      <c r="A262" s="8" t="n"/>
      <c r="B262" s="9">
        <f>IF($A262="","",TEXT($A262,"ddd"))</f>
        <v/>
      </c>
      <c r="C262" s="4" t="n"/>
      <c r="D262" s="10" t="n"/>
      <c r="E262" s="11">
        <f>IF($C262="","",IFERROR(VLOOKUP($C262,TechRates,3,FALSE),0))</f>
        <v/>
      </c>
      <c r="F262" s="11">
        <f>IF(OR($A262="",$D262=""),"",CEILING($D262*$E262,RoundInc))</f>
        <v/>
      </c>
      <c r="G262" s="4" t="n"/>
      <c r="H262" s="9">
        <f>IF($A262="","",COUNTIF($A$2:$A262,$A262))</f>
        <v/>
      </c>
      <c r="I262" s="9">
        <f>IF($A262="","",TEXT($A262,"yyyy-mm-dd")&amp;"#"&amp;$H262)</f>
        <v/>
      </c>
    </row>
    <row r="263">
      <c r="A263" s="8" t="n"/>
      <c r="B263" s="9">
        <f>IF($A263="","",TEXT($A263,"ddd"))</f>
        <v/>
      </c>
      <c r="C263" s="4" t="n"/>
      <c r="D263" s="10" t="n"/>
      <c r="E263" s="11">
        <f>IF($C263="","",IFERROR(VLOOKUP($C263,TechRates,3,FALSE),0))</f>
        <v/>
      </c>
      <c r="F263" s="11">
        <f>IF(OR($A263="",$D263=""),"",CEILING($D263*$E263,RoundInc))</f>
        <v/>
      </c>
      <c r="G263" s="4" t="n"/>
      <c r="H263" s="9">
        <f>IF($A263="","",COUNTIF($A$2:$A263,$A263))</f>
        <v/>
      </c>
      <c r="I263" s="9">
        <f>IF($A263="","",TEXT($A263,"yyyy-mm-dd")&amp;"#"&amp;$H263)</f>
        <v/>
      </c>
    </row>
    <row r="264">
      <c r="A264" s="8" t="n"/>
      <c r="B264" s="9">
        <f>IF($A264="","",TEXT($A264,"ddd"))</f>
        <v/>
      </c>
      <c r="C264" s="4" t="n"/>
      <c r="D264" s="10" t="n"/>
      <c r="E264" s="11">
        <f>IF($C264="","",IFERROR(VLOOKUP($C264,TechRates,3,FALSE),0))</f>
        <v/>
      </c>
      <c r="F264" s="11">
        <f>IF(OR($A264="",$D264=""),"",CEILING($D264*$E264,RoundInc))</f>
        <v/>
      </c>
      <c r="G264" s="4" t="n"/>
      <c r="H264" s="9">
        <f>IF($A264="","",COUNTIF($A$2:$A264,$A264))</f>
        <v/>
      </c>
      <c r="I264" s="9">
        <f>IF($A264="","",TEXT($A264,"yyyy-mm-dd")&amp;"#"&amp;$H264)</f>
        <v/>
      </c>
    </row>
    <row r="265">
      <c r="A265" s="8" t="n"/>
      <c r="B265" s="9">
        <f>IF($A265="","",TEXT($A265,"ddd"))</f>
        <v/>
      </c>
      <c r="C265" s="4" t="n"/>
      <c r="D265" s="10" t="n"/>
      <c r="E265" s="11">
        <f>IF($C265="","",IFERROR(VLOOKUP($C265,TechRates,3,FALSE),0))</f>
        <v/>
      </c>
      <c r="F265" s="11">
        <f>IF(OR($A265="",$D265=""),"",CEILING($D265*$E265,RoundInc))</f>
        <v/>
      </c>
      <c r="G265" s="4" t="n"/>
      <c r="H265" s="9">
        <f>IF($A265="","",COUNTIF($A$2:$A265,$A265))</f>
        <v/>
      </c>
      <c r="I265" s="9">
        <f>IF($A265="","",TEXT($A265,"yyyy-mm-dd")&amp;"#"&amp;$H265)</f>
        <v/>
      </c>
    </row>
    <row r="266">
      <c r="A266" s="8" t="n"/>
      <c r="B266" s="9">
        <f>IF($A266="","",TEXT($A266,"ddd"))</f>
        <v/>
      </c>
      <c r="C266" s="4" t="n"/>
      <c r="D266" s="10" t="n"/>
      <c r="E266" s="11">
        <f>IF($C266="","",IFERROR(VLOOKUP($C266,TechRates,3,FALSE),0))</f>
        <v/>
      </c>
      <c r="F266" s="11">
        <f>IF(OR($A266="",$D266=""),"",CEILING($D266*$E266,RoundInc))</f>
        <v/>
      </c>
      <c r="G266" s="4" t="n"/>
      <c r="H266" s="9">
        <f>IF($A266="","",COUNTIF($A$2:$A266,$A266))</f>
        <v/>
      </c>
      <c r="I266" s="9">
        <f>IF($A266="","",TEXT($A266,"yyyy-mm-dd")&amp;"#"&amp;$H266)</f>
        <v/>
      </c>
    </row>
    <row r="267">
      <c r="A267" s="8" t="n"/>
      <c r="B267" s="9">
        <f>IF($A267="","",TEXT($A267,"ddd"))</f>
        <v/>
      </c>
      <c r="C267" s="4" t="n"/>
      <c r="D267" s="10" t="n"/>
      <c r="E267" s="11">
        <f>IF($C267="","",IFERROR(VLOOKUP($C267,TechRates,3,FALSE),0))</f>
        <v/>
      </c>
      <c r="F267" s="11">
        <f>IF(OR($A267="",$D267=""),"",CEILING($D267*$E267,RoundInc))</f>
        <v/>
      </c>
      <c r="G267" s="4" t="n"/>
      <c r="H267" s="9">
        <f>IF($A267="","",COUNTIF($A$2:$A267,$A267))</f>
        <v/>
      </c>
      <c r="I267" s="9">
        <f>IF($A267="","",TEXT($A267,"yyyy-mm-dd")&amp;"#"&amp;$H267)</f>
        <v/>
      </c>
    </row>
    <row r="268">
      <c r="A268" s="8" t="n"/>
      <c r="B268" s="9">
        <f>IF($A268="","",TEXT($A268,"ddd"))</f>
        <v/>
      </c>
      <c r="C268" s="4" t="n"/>
      <c r="D268" s="10" t="n"/>
      <c r="E268" s="11">
        <f>IF($C268="","",IFERROR(VLOOKUP($C268,TechRates,3,FALSE),0))</f>
        <v/>
      </c>
      <c r="F268" s="11">
        <f>IF(OR($A268="",$D268=""),"",CEILING($D268*$E268,RoundInc))</f>
        <v/>
      </c>
      <c r="G268" s="4" t="n"/>
      <c r="H268" s="9">
        <f>IF($A268="","",COUNTIF($A$2:$A268,$A268))</f>
        <v/>
      </c>
      <c r="I268" s="9">
        <f>IF($A268="","",TEXT($A268,"yyyy-mm-dd")&amp;"#"&amp;$H268)</f>
        <v/>
      </c>
    </row>
    <row r="269">
      <c r="A269" s="8" t="n"/>
      <c r="B269" s="9">
        <f>IF($A269="","",TEXT($A269,"ddd"))</f>
        <v/>
      </c>
      <c r="C269" s="4" t="n"/>
      <c r="D269" s="10" t="n"/>
      <c r="E269" s="11">
        <f>IF($C269="","",IFERROR(VLOOKUP($C269,TechRates,3,FALSE),0))</f>
        <v/>
      </c>
      <c r="F269" s="11">
        <f>IF(OR($A269="",$D269=""),"",CEILING($D269*$E269,RoundInc))</f>
        <v/>
      </c>
      <c r="G269" s="4" t="n"/>
      <c r="H269" s="9">
        <f>IF($A269="","",COUNTIF($A$2:$A269,$A269))</f>
        <v/>
      </c>
      <c r="I269" s="9">
        <f>IF($A269="","",TEXT($A269,"yyyy-mm-dd")&amp;"#"&amp;$H269)</f>
        <v/>
      </c>
    </row>
    <row r="270">
      <c r="A270" s="8" t="n"/>
      <c r="B270" s="9">
        <f>IF($A270="","",TEXT($A270,"ddd"))</f>
        <v/>
      </c>
      <c r="C270" s="4" t="n"/>
      <c r="D270" s="10" t="n"/>
      <c r="E270" s="11">
        <f>IF($C270="","",IFERROR(VLOOKUP($C270,TechRates,3,FALSE),0))</f>
        <v/>
      </c>
      <c r="F270" s="11">
        <f>IF(OR($A270="",$D270=""),"",CEILING($D270*$E270,RoundInc))</f>
        <v/>
      </c>
      <c r="G270" s="4" t="n"/>
      <c r="H270" s="9">
        <f>IF($A270="","",COUNTIF($A$2:$A270,$A270))</f>
        <v/>
      </c>
      <c r="I270" s="9">
        <f>IF($A270="","",TEXT($A270,"yyyy-mm-dd")&amp;"#"&amp;$H270)</f>
        <v/>
      </c>
    </row>
    <row r="271">
      <c r="A271" s="8" t="n"/>
      <c r="B271" s="9">
        <f>IF($A271="","",TEXT($A271,"ddd"))</f>
        <v/>
      </c>
      <c r="C271" s="4" t="n"/>
      <c r="D271" s="10" t="n"/>
      <c r="E271" s="11">
        <f>IF($C271="","",IFERROR(VLOOKUP($C271,TechRates,3,FALSE),0))</f>
        <v/>
      </c>
      <c r="F271" s="11">
        <f>IF(OR($A271="",$D271=""),"",CEILING($D271*$E271,RoundInc))</f>
        <v/>
      </c>
      <c r="G271" s="4" t="n"/>
      <c r="H271" s="9">
        <f>IF($A271="","",COUNTIF($A$2:$A271,$A271))</f>
        <v/>
      </c>
      <c r="I271" s="9">
        <f>IF($A271="","",TEXT($A271,"yyyy-mm-dd")&amp;"#"&amp;$H271)</f>
        <v/>
      </c>
    </row>
    <row r="272">
      <c r="A272" s="8" t="n"/>
      <c r="B272" s="9">
        <f>IF($A272="","",TEXT($A272,"ddd"))</f>
        <v/>
      </c>
      <c r="C272" s="4" t="n"/>
      <c r="D272" s="10" t="n"/>
      <c r="E272" s="11">
        <f>IF($C272="","",IFERROR(VLOOKUP($C272,TechRates,3,FALSE),0))</f>
        <v/>
      </c>
      <c r="F272" s="11">
        <f>IF(OR($A272="",$D272=""),"",CEILING($D272*$E272,RoundInc))</f>
        <v/>
      </c>
      <c r="G272" s="4" t="n"/>
      <c r="H272" s="9">
        <f>IF($A272="","",COUNTIF($A$2:$A272,$A272))</f>
        <v/>
      </c>
      <c r="I272" s="9">
        <f>IF($A272="","",TEXT($A272,"yyyy-mm-dd")&amp;"#"&amp;$H272)</f>
        <v/>
      </c>
    </row>
    <row r="273">
      <c r="A273" s="8" t="n"/>
      <c r="B273" s="9">
        <f>IF($A273="","",TEXT($A273,"ddd"))</f>
        <v/>
      </c>
      <c r="C273" s="4" t="n"/>
      <c r="D273" s="10" t="n"/>
      <c r="E273" s="11">
        <f>IF($C273="","",IFERROR(VLOOKUP($C273,TechRates,3,FALSE),0))</f>
        <v/>
      </c>
      <c r="F273" s="11">
        <f>IF(OR($A273="",$D273=""),"",CEILING($D273*$E273,RoundInc))</f>
        <v/>
      </c>
      <c r="G273" s="4" t="n"/>
      <c r="H273" s="9">
        <f>IF($A273="","",COUNTIF($A$2:$A273,$A273))</f>
        <v/>
      </c>
      <c r="I273" s="9">
        <f>IF($A273="","",TEXT($A273,"yyyy-mm-dd")&amp;"#"&amp;$H273)</f>
        <v/>
      </c>
    </row>
    <row r="274">
      <c r="A274" s="8" t="n"/>
      <c r="B274" s="9">
        <f>IF($A274="","",TEXT($A274,"ddd"))</f>
        <v/>
      </c>
      <c r="C274" s="4" t="n"/>
      <c r="D274" s="10" t="n"/>
      <c r="E274" s="11">
        <f>IF($C274="","",IFERROR(VLOOKUP($C274,TechRates,3,FALSE),0))</f>
        <v/>
      </c>
      <c r="F274" s="11">
        <f>IF(OR($A274="",$D274=""),"",CEILING($D274*$E274,RoundInc))</f>
        <v/>
      </c>
      <c r="G274" s="4" t="n"/>
      <c r="H274" s="9">
        <f>IF($A274="","",COUNTIF($A$2:$A274,$A274))</f>
        <v/>
      </c>
      <c r="I274" s="9">
        <f>IF($A274="","",TEXT($A274,"yyyy-mm-dd")&amp;"#"&amp;$H274)</f>
        <v/>
      </c>
    </row>
    <row r="275">
      <c r="A275" s="8" t="n"/>
      <c r="B275" s="9">
        <f>IF($A275="","",TEXT($A275,"ddd"))</f>
        <v/>
      </c>
      <c r="C275" s="4" t="n"/>
      <c r="D275" s="10" t="n"/>
      <c r="E275" s="11">
        <f>IF($C275="","",IFERROR(VLOOKUP($C275,TechRates,3,FALSE),0))</f>
        <v/>
      </c>
      <c r="F275" s="11">
        <f>IF(OR($A275="",$D275=""),"",CEILING($D275*$E275,RoundInc))</f>
        <v/>
      </c>
      <c r="G275" s="4" t="n"/>
      <c r="H275" s="9">
        <f>IF($A275="","",COUNTIF($A$2:$A275,$A275))</f>
        <v/>
      </c>
      <c r="I275" s="9">
        <f>IF($A275="","",TEXT($A275,"yyyy-mm-dd")&amp;"#"&amp;$H275)</f>
        <v/>
      </c>
    </row>
    <row r="276">
      <c r="A276" s="8" t="n"/>
      <c r="B276" s="9">
        <f>IF($A276="","",TEXT($A276,"ddd"))</f>
        <v/>
      </c>
      <c r="C276" s="4" t="n"/>
      <c r="D276" s="10" t="n"/>
      <c r="E276" s="11">
        <f>IF($C276="","",IFERROR(VLOOKUP($C276,TechRates,3,FALSE),0))</f>
        <v/>
      </c>
      <c r="F276" s="11">
        <f>IF(OR($A276="",$D276=""),"",CEILING($D276*$E276,RoundInc))</f>
        <v/>
      </c>
      <c r="G276" s="4" t="n"/>
      <c r="H276" s="9">
        <f>IF($A276="","",COUNTIF($A$2:$A276,$A276))</f>
        <v/>
      </c>
      <c r="I276" s="9">
        <f>IF($A276="","",TEXT($A276,"yyyy-mm-dd")&amp;"#"&amp;$H276)</f>
        <v/>
      </c>
    </row>
    <row r="277">
      <c r="A277" s="8" t="n"/>
      <c r="B277" s="9">
        <f>IF($A277="","",TEXT($A277,"ddd"))</f>
        <v/>
      </c>
      <c r="C277" s="4" t="n"/>
      <c r="D277" s="10" t="n"/>
      <c r="E277" s="11">
        <f>IF($C277="","",IFERROR(VLOOKUP($C277,TechRates,3,FALSE),0))</f>
        <v/>
      </c>
      <c r="F277" s="11">
        <f>IF(OR($A277="",$D277=""),"",CEILING($D277*$E277,RoundInc))</f>
        <v/>
      </c>
      <c r="G277" s="4" t="n"/>
      <c r="H277" s="9">
        <f>IF($A277="","",COUNTIF($A$2:$A277,$A277))</f>
        <v/>
      </c>
      <c r="I277" s="9">
        <f>IF($A277="","",TEXT($A277,"yyyy-mm-dd")&amp;"#"&amp;$H277)</f>
        <v/>
      </c>
    </row>
    <row r="278">
      <c r="A278" s="8" t="n"/>
      <c r="B278" s="9">
        <f>IF($A278="","",TEXT($A278,"ddd"))</f>
        <v/>
      </c>
      <c r="C278" s="4" t="n"/>
      <c r="D278" s="10" t="n"/>
      <c r="E278" s="11">
        <f>IF($C278="","",IFERROR(VLOOKUP($C278,TechRates,3,FALSE),0))</f>
        <v/>
      </c>
      <c r="F278" s="11">
        <f>IF(OR($A278="",$D278=""),"",CEILING($D278*$E278,RoundInc))</f>
        <v/>
      </c>
      <c r="G278" s="4" t="n"/>
      <c r="H278" s="9">
        <f>IF($A278="","",COUNTIF($A$2:$A278,$A278))</f>
        <v/>
      </c>
      <c r="I278" s="9">
        <f>IF($A278="","",TEXT($A278,"yyyy-mm-dd")&amp;"#"&amp;$H278)</f>
        <v/>
      </c>
    </row>
    <row r="279">
      <c r="A279" s="8" t="n"/>
      <c r="B279" s="9">
        <f>IF($A279="","",TEXT($A279,"ddd"))</f>
        <v/>
      </c>
      <c r="C279" s="4" t="n"/>
      <c r="D279" s="10" t="n"/>
      <c r="E279" s="11">
        <f>IF($C279="","",IFERROR(VLOOKUP($C279,TechRates,3,FALSE),0))</f>
        <v/>
      </c>
      <c r="F279" s="11">
        <f>IF(OR($A279="",$D279=""),"",CEILING($D279*$E279,RoundInc))</f>
        <v/>
      </c>
      <c r="G279" s="4" t="n"/>
      <c r="H279" s="9">
        <f>IF($A279="","",COUNTIF($A$2:$A279,$A279))</f>
        <v/>
      </c>
      <c r="I279" s="9">
        <f>IF($A279="","",TEXT($A279,"yyyy-mm-dd")&amp;"#"&amp;$H279)</f>
        <v/>
      </c>
    </row>
    <row r="280">
      <c r="A280" s="8" t="n"/>
      <c r="B280" s="9">
        <f>IF($A280="","",TEXT($A280,"ddd"))</f>
        <v/>
      </c>
      <c r="C280" s="4" t="n"/>
      <c r="D280" s="10" t="n"/>
      <c r="E280" s="11">
        <f>IF($C280="","",IFERROR(VLOOKUP($C280,TechRates,3,FALSE),0))</f>
        <v/>
      </c>
      <c r="F280" s="11">
        <f>IF(OR($A280="",$D280=""),"",CEILING($D280*$E280,RoundInc))</f>
        <v/>
      </c>
      <c r="G280" s="4" t="n"/>
      <c r="H280" s="9">
        <f>IF($A280="","",COUNTIF($A$2:$A280,$A280))</f>
        <v/>
      </c>
      <c r="I280" s="9">
        <f>IF($A280="","",TEXT($A280,"yyyy-mm-dd")&amp;"#"&amp;$H280)</f>
        <v/>
      </c>
    </row>
    <row r="281">
      <c r="A281" s="8" t="n"/>
      <c r="B281" s="9">
        <f>IF($A281="","",TEXT($A281,"ddd"))</f>
        <v/>
      </c>
      <c r="C281" s="4" t="n"/>
      <c r="D281" s="10" t="n"/>
      <c r="E281" s="11">
        <f>IF($C281="","",IFERROR(VLOOKUP($C281,TechRates,3,FALSE),0))</f>
        <v/>
      </c>
      <c r="F281" s="11">
        <f>IF(OR($A281="",$D281=""),"",CEILING($D281*$E281,RoundInc))</f>
        <v/>
      </c>
      <c r="G281" s="4" t="n"/>
      <c r="H281" s="9">
        <f>IF($A281="","",COUNTIF($A$2:$A281,$A281))</f>
        <v/>
      </c>
      <c r="I281" s="9">
        <f>IF($A281="","",TEXT($A281,"yyyy-mm-dd")&amp;"#"&amp;$H281)</f>
        <v/>
      </c>
    </row>
    <row r="282">
      <c r="A282" s="8" t="n"/>
      <c r="B282" s="9">
        <f>IF($A282="","",TEXT($A282,"ddd"))</f>
        <v/>
      </c>
      <c r="C282" s="4" t="n"/>
      <c r="D282" s="10" t="n"/>
      <c r="E282" s="11">
        <f>IF($C282="","",IFERROR(VLOOKUP($C282,TechRates,3,FALSE),0))</f>
        <v/>
      </c>
      <c r="F282" s="11">
        <f>IF(OR($A282="",$D282=""),"",CEILING($D282*$E282,RoundInc))</f>
        <v/>
      </c>
      <c r="G282" s="4" t="n"/>
      <c r="H282" s="9">
        <f>IF($A282="","",COUNTIF($A$2:$A282,$A282))</f>
        <v/>
      </c>
      <c r="I282" s="9">
        <f>IF($A282="","",TEXT($A282,"yyyy-mm-dd")&amp;"#"&amp;$H282)</f>
        <v/>
      </c>
    </row>
    <row r="283">
      <c r="A283" s="8" t="n"/>
      <c r="B283" s="9">
        <f>IF($A283="","",TEXT($A283,"ddd"))</f>
        <v/>
      </c>
      <c r="C283" s="4" t="n"/>
      <c r="D283" s="10" t="n"/>
      <c r="E283" s="11">
        <f>IF($C283="","",IFERROR(VLOOKUP($C283,TechRates,3,FALSE),0))</f>
        <v/>
      </c>
      <c r="F283" s="11">
        <f>IF(OR($A283="",$D283=""),"",CEILING($D283*$E283,RoundInc))</f>
        <v/>
      </c>
      <c r="G283" s="4" t="n"/>
      <c r="H283" s="9">
        <f>IF($A283="","",COUNTIF($A$2:$A283,$A283))</f>
        <v/>
      </c>
      <c r="I283" s="9">
        <f>IF($A283="","",TEXT($A283,"yyyy-mm-dd")&amp;"#"&amp;$H283)</f>
        <v/>
      </c>
    </row>
    <row r="284">
      <c r="A284" s="8" t="n"/>
      <c r="B284" s="9">
        <f>IF($A284="","",TEXT($A284,"ddd"))</f>
        <v/>
      </c>
      <c r="C284" s="4" t="n"/>
      <c r="D284" s="10" t="n"/>
      <c r="E284" s="11">
        <f>IF($C284="","",IFERROR(VLOOKUP($C284,TechRates,3,FALSE),0))</f>
        <v/>
      </c>
      <c r="F284" s="11">
        <f>IF(OR($A284="",$D284=""),"",CEILING($D284*$E284,RoundInc))</f>
        <v/>
      </c>
      <c r="G284" s="4" t="n"/>
      <c r="H284" s="9">
        <f>IF($A284="","",COUNTIF($A$2:$A284,$A284))</f>
        <v/>
      </c>
      <c r="I284" s="9">
        <f>IF($A284="","",TEXT($A284,"yyyy-mm-dd")&amp;"#"&amp;$H284)</f>
        <v/>
      </c>
    </row>
    <row r="285">
      <c r="A285" s="8" t="n"/>
      <c r="B285" s="9">
        <f>IF($A285="","",TEXT($A285,"ddd"))</f>
        <v/>
      </c>
      <c r="C285" s="4" t="n"/>
      <c r="D285" s="10" t="n"/>
      <c r="E285" s="11">
        <f>IF($C285="","",IFERROR(VLOOKUP($C285,TechRates,3,FALSE),0))</f>
        <v/>
      </c>
      <c r="F285" s="11">
        <f>IF(OR($A285="",$D285=""),"",CEILING($D285*$E285,RoundInc))</f>
        <v/>
      </c>
      <c r="G285" s="4" t="n"/>
      <c r="H285" s="9">
        <f>IF($A285="","",COUNTIF($A$2:$A285,$A285))</f>
        <v/>
      </c>
      <c r="I285" s="9">
        <f>IF($A285="","",TEXT($A285,"yyyy-mm-dd")&amp;"#"&amp;$H285)</f>
        <v/>
      </c>
    </row>
    <row r="286">
      <c r="A286" s="8" t="n"/>
      <c r="B286" s="9">
        <f>IF($A286="","",TEXT($A286,"ddd"))</f>
        <v/>
      </c>
      <c r="C286" s="4" t="n"/>
      <c r="D286" s="10" t="n"/>
      <c r="E286" s="11">
        <f>IF($C286="","",IFERROR(VLOOKUP($C286,TechRates,3,FALSE),0))</f>
        <v/>
      </c>
      <c r="F286" s="11">
        <f>IF(OR($A286="",$D286=""),"",CEILING($D286*$E286,RoundInc))</f>
        <v/>
      </c>
      <c r="G286" s="4" t="n"/>
      <c r="H286" s="9">
        <f>IF($A286="","",COUNTIF($A$2:$A286,$A286))</f>
        <v/>
      </c>
      <c r="I286" s="9">
        <f>IF($A286="","",TEXT($A286,"yyyy-mm-dd")&amp;"#"&amp;$H286)</f>
        <v/>
      </c>
    </row>
    <row r="287">
      <c r="A287" s="8" t="n"/>
      <c r="B287" s="9">
        <f>IF($A287="","",TEXT($A287,"ddd"))</f>
        <v/>
      </c>
      <c r="C287" s="4" t="n"/>
      <c r="D287" s="10" t="n"/>
      <c r="E287" s="11">
        <f>IF($C287="","",IFERROR(VLOOKUP($C287,TechRates,3,FALSE),0))</f>
        <v/>
      </c>
      <c r="F287" s="11">
        <f>IF(OR($A287="",$D287=""),"",CEILING($D287*$E287,RoundInc))</f>
        <v/>
      </c>
      <c r="G287" s="4" t="n"/>
      <c r="H287" s="9">
        <f>IF($A287="","",COUNTIF($A$2:$A287,$A287))</f>
        <v/>
      </c>
      <c r="I287" s="9">
        <f>IF($A287="","",TEXT($A287,"yyyy-mm-dd")&amp;"#"&amp;$H287)</f>
        <v/>
      </c>
    </row>
    <row r="288">
      <c r="A288" s="8" t="n"/>
      <c r="B288" s="9">
        <f>IF($A288="","",TEXT($A288,"ddd"))</f>
        <v/>
      </c>
      <c r="C288" s="4" t="n"/>
      <c r="D288" s="10" t="n"/>
      <c r="E288" s="11">
        <f>IF($C288="","",IFERROR(VLOOKUP($C288,TechRates,3,FALSE),0))</f>
        <v/>
      </c>
      <c r="F288" s="11">
        <f>IF(OR($A288="",$D288=""),"",CEILING($D288*$E288,RoundInc))</f>
        <v/>
      </c>
      <c r="G288" s="4" t="n"/>
      <c r="H288" s="9">
        <f>IF($A288="","",COUNTIF($A$2:$A288,$A288))</f>
        <v/>
      </c>
      <c r="I288" s="9">
        <f>IF($A288="","",TEXT($A288,"yyyy-mm-dd")&amp;"#"&amp;$H288)</f>
        <v/>
      </c>
    </row>
    <row r="289">
      <c r="A289" s="8" t="n"/>
      <c r="B289" s="9">
        <f>IF($A289="","",TEXT($A289,"ddd"))</f>
        <v/>
      </c>
      <c r="C289" s="4" t="n"/>
      <c r="D289" s="10" t="n"/>
      <c r="E289" s="11">
        <f>IF($C289="","",IFERROR(VLOOKUP($C289,TechRates,3,FALSE),0))</f>
        <v/>
      </c>
      <c r="F289" s="11">
        <f>IF(OR($A289="",$D289=""),"",CEILING($D289*$E289,RoundInc))</f>
        <v/>
      </c>
      <c r="G289" s="4" t="n"/>
      <c r="H289" s="9">
        <f>IF($A289="","",COUNTIF($A$2:$A289,$A289))</f>
        <v/>
      </c>
      <c r="I289" s="9">
        <f>IF($A289="","",TEXT($A289,"yyyy-mm-dd")&amp;"#"&amp;$H289)</f>
        <v/>
      </c>
    </row>
    <row r="290">
      <c r="A290" s="8" t="n"/>
      <c r="B290" s="9">
        <f>IF($A290="","",TEXT($A290,"ddd"))</f>
        <v/>
      </c>
      <c r="C290" s="4" t="n"/>
      <c r="D290" s="10" t="n"/>
      <c r="E290" s="11">
        <f>IF($C290="","",IFERROR(VLOOKUP($C290,TechRates,3,FALSE),0))</f>
        <v/>
      </c>
      <c r="F290" s="11">
        <f>IF(OR($A290="",$D290=""),"",CEILING($D290*$E290,RoundInc))</f>
        <v/>
      </c>
      <c r="G290" s="4" t="n"/>
      <c r="H290" s="9">
        <f>IF($A290="","",COUNTIF($A$2:$A290,$A290))</f>
        <v/>
      </c>
      <c r="I290" s="9">
        <f>IF($A290="","",TEXT($A290,"yyyy-mm-dd")&amp;"#"&amp;$H290)</f>
        <v/>
      </c>
    </row>
    <row r="291">
      <c r="A291" s="8" t="n"/>
      <c r="B291" s="9">
        <f>IF($A291="","",TEXT($A291,"ddd"))</f>
        <v/>
      </c>
      <c r="C291" s="4" t="n"/>
      <c r="D291" s="10" t="n"/>
      <c r="E291" s="11">
        <f>IF($C291="","",IFERROR(VLOOKUP($C291,TechRates,3,FALSE),0))</f>
        <v/>
      </c>
      <c r="F291" s="11">
        <f>IF(OR($A291="",$D291=""),"",CEILING($D291*$E291,RoundInc))</f>
        <v/>
      </c>
      <c r="G291" s="4" t="n"/>
      <c r="H291" s="9">
        <f>IF($A291="","",COUNTIF($A$2:$A291,$A291))</f>
        <v/>
      </c>
      <c r="I291" s="9">
        <f>IF($A291="","",TEXT($A291,"yyyy-mm-dd")&amp;"#"&amp;$H291)</f>
        <v/>
      </c>
    </row>
    <row r="292">
      <c r="A292" s="8" t="n"/>
      <c r="B292" s="9">
        <f>IF($A292="","",TEXT($A292,"ddd"))</f>
        <v/>
      </c>
      <c r="C292" s="4" t="n"/>
      <c r="D292" s="10" t="n"/>
      <c r="E292" s="11">
        <f>IF($C292="","",IFERROR(VLOOKUP($C292,TechRates,3,FALSE),0))</f>
        <v/>
      </c>
      <c r="F292" s="11">
        <f>IF(OR($A292="",$D292=""),"",CEILING($D292*$E292,RoundInc))</f>
        <v/>
      </c>
      <c r="G292" s="4" t="n"/>
      <c r="H292" s="9">
        <f>IF($A292="","",COUNTIF($A$2:$A292,$A292))</f>
        <v/>
      </c>
      <c r="I292" s="9">
        <f>IF($A292="","",TEXT($A292,"yyyy-mm-dd")&amp;"#"&amp;$H292)</f>
        <v/>
      </c>
    </row>
    <row r="293">
      <c r="A293" s="8" t="n"/>
      <c r="B293" s="9">
        <f>IF($A293="","",TEXT($A293,"ddd"))</f>
        <v/>
      </c>
      <c r="C293" s="4" t="n"/>
      <c r="D293" s="10" t="n"/>
      <c r="E293" s="11">
        <f>IF($C293="","",IFERROR(VLOOKUP($C293,TechRates,3,FALSE),0))</f>
        <v/>
      </c>
      <c r="F293" s="11">
        <f>IF(OR($A293="",$D293=""),"",CEILING($D293*$E293,RoundInc))</f>
        <v/>
      </c>
      <c r="G293" s="4" t="n"/>
      <c r="H293" s="9">
        <f>IF($A293="","",COUNTIF($A$2:$A293,$A293))</f>
        <v/>
      </c>
      <c r="I293" s="9">
        <f>IF($A293="","",TEXT($A293,"yyyy-mm-dd")&amp;"#"&amp;$H293)</f>
        <v/>
      </c>
    </row>
    <row r="294">
      <c r="A294" s="8" t="n"/>
      <c r="B294" s="9">
        <f>IF($A294="","",TEXT($A294,"ddd"))</f>
        <v/>
      </c>
      <c r="C294" s="4" t="n"/>
      <c r="D294" s="10" t="n"/>
      <c r="E294" s="11">
        <f>IF($C294="","",IFERROR(VLOOKUP($C294,TechRates,3,FALSE),0))</f>
        <v/>
      </c>
      <c r="F294" s="11">
        <f>IF(OR($A294="",$D294=""),"",CEILING($D294*$E294,RoundInc))</f>
        <v/>
      </c>
      <c r="G294" s="4" t="n"/>
      <c r="H294" s="9">
        <f>IF($A294="","",COUNTIF($A$2:$A294,$A294))</f>
        <v/>
      </c>
      <c r="I294" s="9">
        <f>IF($A294="","",TEXT($A294,"yyyy-mm-dd")&amp;"#"&amp;$H294)</f>
        <v/>
      </c>
    </row>
    <row r="295">
      <c r="A295" s="8" t="n"/>
      <c r="B295" s="9">
        <f>IF($A295="","",TEXT($A295,"ddd"))</f>
        <v/>
      </c>
      <c r="C295" s="4" t="n"/>
      <c r="D295" s="10" t="n"/>
      <c r="E295" s="11">
        <f>IF($C295="","",IFERROR(VLOOKUP($C295,TechRates,3,FALSE),0))</f>
        <v/>
      </c>
      <c r="F295" s="11">
        <f>IF(OR($A295="",$D295=""),"",CEILING($D295*$E295,RoundInc))</f>
        <v/>
      </c>
      <c r="G295" s="4" t="n"/>
      <c r="H295" s="9">
        <f>IF($A295="","",COUNTIF($A$2:$A295,$A295))</f>
        <v/>
      </c>
      <c r="I295" s="9">
        <f>IF($A295="","",TEXT($A295,"yyyy-mm-dd")&amp;"#"&amp;$H295)</f>
        <v/>
      </c>
    </row>
    <row r="296">
      <c r="A296" s="8" t="n"/>
      <c r="B296" s="9">
        <f>IF($A296="","",TEXT($A296,"ddd"))</f>
        <v/>
      </c>
      <c r="C296" s="4" t="n"/>
      <c r="D296" s="10" t="n"/>
      <c r="E296" s="11">
        <f>IF($C296="","",IFERROR(VLOOKUP($C296,TechRates,3,FALSE),0))</f>
        <v/>
      </c>
      <c r="F296" s="11">
        <f>IF(OR($A296="",$D296=""),"",CEILING($D296*$E296,RoundInc))</f>
        <v/>
      </c>
      <c r="G296" s="4" t="n"/>
      <c r="H296" s="9">
        <f>IF($A296="","",COUNTIF($A$2:$A296,$A296))</f>
        <v/>
      </c>
      <c r="I296" s="9">
        <f>IF($A296="","",TEXT($A296,"yyyy-mm-dd")&amp;"#"&amp;$H296)</f>
        <v/>
      </c>
    </row>
    <row r="297">
      <c r="A297" s="8" t="n"/>
      <c r="B297" s="9">
        <f>IF($A297="","",TEXT($A297,"ddd"))</f>
        <v/>
      </c>
      <c r="C297" s="4" t="n"/>
      <c r="D297" s="10" t="n"/>
      <c r="E297" s="11">
        <f>IF($C297="","",IFERROR(VLOOKUP($C297,TechRates,3,FALSE),0))</f>
        <v/>
      </c>
      <c r="F297" s="11">
        <f>IF(OR($A297="",$D297=""),"",CEILING($D297*$E297,RoundInc))</f>
        <v/>
      </c>
      <c r="G297" s="4" t="n"/>
      <c r="H297" s="9">
        <f>IF($A297="","",COUNTIF($A$2:$A297,$A297))</f>
        <v/>
      </c>
      <c r="I297" s="9">
        <f>IF($A297="","",TEXT($A297,"yyyy-mm-dd")&amp;"#"&amp;$H297)</f>
        <v/>
      </c>
    </row>
    <row r="298">
      <c r="A298" s="8" t="n"/>
      <c r="B298" s="9">
        <f>IF($A298="","",TEXT($A298,"ddd"))</f>
        <v/>
      </c>
      <c r="C298" s="4" t="n"/>
      <c r="D298" s="10" t="n"/>
      <c r="E298" s="11">
        <f>IF($C298="","",IFERROR(VLOOKUP($C298,TechRates,3,FALSE),0))</f>
        <v/>
      </c>
      <c r="F298" s="11">
        <f>IF(OR($A298="",$D298=""),"",CEILING($D298*$E298,RoundInc))</f>
        <v/>
      </c>
      <c r="G298" s="4" t="n"/>
      <c r="H298" s="9">
        <f>IF($A298="","",COUNTIF($A$2:$A298,$A298))</f>
        <v/>
      </c>
      <c r="I298" s="9">
        <f>IF($A298="","",TEXT($A298,"yyyy-mm-dd")&amp;"#"&amp;$H298)</f>
        <v/>
      </c>
    </row>
    <row r="299">
      <c r="A299" s="8" t="n"/>
      <c r="B299" s="9">
        <f>IF($A299="","",TEXT($A299,"ddd"))</f>
        <v/>
      </c>
      <c r="C299" s="4" t="n"/>
      <c r="D299" s="10" t="n"/>
      <c r="E299" s="11">
        <f>IF($C299="","",IFERROR(VLOOKUP($C299,TechRates,3,FALSE),0))</f>
        <v/>
      </c>
      <c r="F299" s="11">
        <f>IF(OR($A299="",$D299=""),"",CEILING($D299*$E299,RoundInc))</f>
        <v/>
      </c>
      <c r="G299" s="4" t="n"/>
      <c r="H299" s="9">
        <f>IF($A299="","",COUNTIF($A$2:$A299,$A299))</f>
        <v/>
      </c>
      <c r="I299" s="9">
        <f>IF($A299="","",TEXT($A299,"yyyy-mm-dd")&amp;"#"&amp;$H299)</f>
        <v/>
      </c>
    </row>
    <row r="300">
      <c r="A300" s="8" t="n"/>
      <c r="B300" s="9">
        <f>IF($A300="","",TEXT($A300,"ddd"))</f>
        <v/>
      </c>
      <c r="C300" s="4" t="n"/>
      <c r="D300" s="10" t="n"/>
      <c r="E300" s="11">
        <f>IF($C300="","",IFERROR(VLOOKUP($C300,TechRates,3,FALSE),0))</f>
        <v/>
      </c>
      <c r="F300" s="11">
        <f>IF(OR($A300="",$D300=""),"",CEILING($D300*$E300,RoundInc))</f>
        <v/>
      </c>
      <c r="G300" s="4" t="n"/>
      <c r="H300" s="9">
        <f>IF($A300="","",COUNTIF($A$2:$A300,$A300))</f>
        <v/>
      </c>
      <c r="I300" s="9">
        <f>IF($A300="","",TEXT($A300,"yyyy-mm-dd")&amp;"#"&amp;$H300)</f>
        <v/>
      </c>
    </row>
    <row r="301">
      <c r="A301" s="8" t="n"/>
      <c r="B301" s="9">
        <f>IF($A301="","",TEXT($A301,"ddd"))</f>
        <v/>
      </c>
      <c r="C301" s="4" t="n"/>
      <c r="D301" s="10" t="n"/>
      <c r="E301" s="11">
        <f>IF($C301="","",IFERROR(VLOOKUP($C301,TechRates,3,FALSE),0))</f>
        <v/>
      </c>
      <c r="F301" s="11">
        <f>IF(OR($A301="",$D301=""),"",CEILING($D301*$E301,RoundInc))</f>
        <v/>
      </c>
      <c r="G301" s="4" t="n"/>
      <c r="H301" s="9">
        <f>IF($A301="","",COUNTIF($A$2:$A301,$A301))</f>
        <v/>
      </c>
      <c r="I301" s="9">
        <f>IF($A301="","",TEXT($A301,"yyyy-mm-dd")&amp;"#"&amp;$H301)</f>
        <v/>
      </c>
    </row>
  </sheetData>
  <autoFilter ref="A1:I301"/>
  <dataValidations count="2">
    <dataValidation sqref="C2:C301" showDropDown="0" showInputMessage="0" showErrorMessage="1" allowBlank="1" errorTitle="Técnico no válido" error="Elige un técnico de la lista de Setup (A30:A37)." type="list">
      <formula1>=TechCodes</formula1>
    </dataValidation>
    <dataValidation sqref="D2:D301" showDropDown="0" showInputMessage="0" showErrorMessage="1" allowBlank="1" errorTitle="Importe no válido" error="Usa un número mayor o igual que 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9" customWidth="1" min="4" max="4"/>
    <col width="34" customWidth="1" min="5" max="5"/>
    <col width="7" customWidth="1" min="6" max="6"/>
    <col width="12" customWidth="1" min="7" max="7"/>
    <col width="11" customWidth="1" min="8" max="8"/>
    <col width="12" customWidth="1" min="9" max="9"/>
    <col width="9" customWidth="1" min="10" max="10"/>
    <col width="11" customWidth="1" min="11" max="11"/>
    <col width="13" customWidth="1" min="12" max="12"/>
    <col width="9" customWidth="1" min="13" max="13"/>
    <col width="18" customWidth="1" min="14" max="14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Category</t>
        </is>
      </c>
      <c r="D1" s="3" t="inlineStr">
        <is>
          <t>Tech</t>
        </is>
      </c>
      <c r="E1" s="3" t="inlineStr">
        <is>
          <t>Item / Description</t>
        </is>
      </c>
      <c r="F1" s="3" t="inlineStr">
        <is>
          <t>Units</t>
        </is>
      </c>
      <c r="G1" s="3" t="inlineStr">
        <is>
          <t>Amount (override)</t>
        </is>
      </c>
      <c r="H1" s="3" t="inlineStr">
        <is>
          <t>Rate / Unit</t>
        </is>
      </c>
      <c r="I1" s="3" t="inlineStr">
        <is>
          <t>Charge</t>
        </is>
      </c>
      <c r="J1" s="3" t="inlineStr">
        <is>
          <t>Billable</t>
        </is>
      </c>
      <c r="K1" s="3" t="inlineStr">
        <is>
          <t>Markup 15%</t>
        </is>
      </c>
      <c r="L1" s="3" t="inlineStr">
        <is>
          <t>Reimburse tech</t>
        </is>
      </c>
      <c r="M1" s="3" t="inlineStr">
        <is>
          <t>DaySeq</t>
        </is>
      </c>
      <c r="N1" s="3" t="inlineStr">
        <is>
          <t>LookupKey</t>
        </is>
      </c>
    </row>
    <row r="2">
      <c r="A2" s="8" t="n"/>
      <c r="B2" s="9">
        <f>IF($A2="","",TEXT($A2,"ddd"))</f>
        <v/>
      </c>
      <c r="C2" s="4" t="n"/>
      <c r="D2" s="4" t="n"/>
      <c r="E2" s="4" t="n"/>
      <c r="F2" s="4" t="n"/>
      <c r="G2" s="6" t="n"/>
      <c r="H2" s="11">
        <f>IF($C2="","",IF($C2="Equipment",IFERROR(VLOOKUP($E2,EquipRates,IF(AND($F2&lt;&gt;"",$F2&lt;1),3,2),FALSE),0),IFERROR(VLOOKUP($C2,Trucks,2,FALSE),"")))</f>
        <v/>
      </c>
      <c r="I2" s="11">
        <f>IF($C2="","",CEILING(IF($H2&lt;&gt;"",$H2,IF($G2="",0,$G2))*IF($F2="",1,$F2),RoundInc))</f>
        <v/>
      </c>
      <c r="J2" s="4" t="n"/>
      <c r="K2" s="9">
        <f>IF($C2="","",IF(OR($C2="Truck stock",$C2="Purchase",$C2="Tech expense",$C2="Other"),"Yes","No"))</f>
        <v/>
      </c>
      <c r="L2" s="4" t="n"/>
      <c r="M2" s="9">
        <f>IF($A2="","",COUNTIF($A$2:$A2,$A2))</f>
        <v/>
      </c>
      <c r="N2" s="9">
        <f>IF($A2="","",TEXT($A2,"yyyy-mm-dd")&amp;"#"&amp;$M2)</f>
        <v/>
      </c>
    </row>
    <row r="3">
      <c r="A3" s="8" t="n"/>
      <c r="B3" s="9">
        <f>IF($A3="","",TEXT($A3,"ddd"))</f>
        <v/>
      </c>
      <c r="C3" s="4" t="n"/>
      <c r="D3" s="4" t="n"/>
      <c r="E3" s="4" t="n"/>
      <c r="F3" s="4" t="n"/>
      <c r="G3" s="6" t="n"/>
      <c r="H3" s="11">
        <f>IF($C3="","",IF($C3="Equipment",IFERROR(VLOOKUP($E3,EquipRates,IF(AND($F3&lt;&gt;"",$F3&lt;1),3,2),FALSE),0),IFERROR(VLOOKUP($C3,Trucks,2,FALSE),"")))</f>
        <v/>
      </c>
      <c r="I3" s="11">
        <f>IF($C3="","",CEILING(IF($H3&lt;&gt;"",$H3,IF($G3="",0,$G3))*IF($F3="",1,$F3),RoundInc))</f>
        <v/>
      </c>
      <c r="J3" s="4" t="n"/>
      <c r="K3" s="9">
        <f>IF($C3="","",IF(OR($C3="Truck stock",$C3="Purchase",$C3="Tech expense",$C3="Other"),"Yes","No"))</f>
        <v/>
      </c>
      <c r="L3" s="4" t="n"/>
      <c r="M3" s="9">
        <f>IF($A3="","",COUNTIF($A$2:$A3,$A3))</f>
        <v/>
      </c>
      <c r="N3" s="9">
        <f>IF($A3="","",TEXT($A3,"yyyy-mm-dd")&amp;"#"&amp;$M3)</f>
        <v/>
      </c>
    </row>
    <row r="4">
      <c r="A4" s="8" t="n"/>
      <c r="B4" s="9">
        <f>IF($A4="","",TEXT($A4,"ddd"))</f>
        <v/>
      </c>
      <c r="C4" s="4" t="n"/>
      <c r="D4" s="4" t="n"/>
      <c r="E4" s="4" t="n"/>
      <c r="F4" s="4" t="n"/>
      <c r="G4" s="6" t="n"/>
      <c r="H4" s="11">
        <f>IF($C4="","",IF($C4="Equipment",IFERROR(VLOOKUP($E4,EquipRates,IF(AND($F4&lt;&gt;"",$F4&lt;1),3,2),FALSE),0),IFERROR(VLOOKUP($C4,Trucks,2,FALSE),"")))</f>
        <v/>
      </c>
      <c r="I4" s="11">
        <f>IF($C4="","",CEILING(IF($H4&lt;&gt;"",$H4,IF($G4="",0,$G4))*IF($F4="",1,$F4),RoundInc))</f>
        <v/>
      </c>
      <c r="J4" s="4" t="n"/>
      <c r="K4" s="9">
        <f>IF($C4="","",IF(OR($C4="Truck stock",$C4="Purchase",$C4="Tech expense",$C4="Other"),"Yes","No"))</f>
        <v/>
      </c>
      <c r="L4" s="4" t="n"/>
      <c r="M4" s="9">
        <f>IF($A4="","",COUNTIF($A$2:$A4,$A4))</f>
        <v/>
      </c>
      <c r="N4" s="9">
        <f>IF($A4="","",TEXT($A4,"yyyy-mm-dd")&amp;"#"&amp;$M4)</f>
        <v/>
      </c>
    </row>
    <row r="5">
      <c r="A5" s="8" t="n"/>
      <c r="B5" s="9">
        <f>IF($A5="","",TEXT($A5,"ddd"))</f>
        <v/>
      </c>
      <c r="C5" s="4" t="n"/>
      <c r="D5" s="4" t="n"/>
      <c r="E5" s="4" t="n"/>
      <c r="F5" s="4" t="n"/>
      <c r="G5" s="6" t="n"/>
      <c r="H5" s="11">
        <f>IF($C5="","",IF($C5="Equipment",IFERROR(VLOOKUP($E5,EquipRates,IF(AND($F5&lt;&gt;"",$F5&lt;1),3,2),FALSE),0),IFERROR(VLOOKUP($C5,Trucks,2,FALSE),"")))</f>
        <v/>
      </c>
      <c r="I5" s="11">
        <f>IF($C5="","",CEILING(IF($H5&lt;&gt;"",$H5,IF($G5="",0,$G5))*IF($F5="",1,$F5),RoundInc))</f>
        <v/>
      </c>
      <c r="J5" s="4" t="n"/>
      <c r="K5" s="9">
        <f>IF($C5="","",IF(OR($C5="Truck stock",$C5="Purchase",$C5="Tech expense",$C5="Other"),"Yes","No"))</f>
        <v/>
      </c>
      <c r="L5" s="4" t="n"/>
      <c r="M5" s="9">
        <f>IF($A5="","",COUNTIF($A$2:$A5,$A5))</f>
        <v/>
      </c>
      <c r="N5" s="9">
        <f>IF($A5="","",TEXT($A5,"yyyy-mm-dd")&amp;"#"&amp;$M5)</f>
        <v/>
      </c>
    </row>
    <row r="6">
      <c r="A6" s="8" t="n"/>
      <c r="B6" s="9">
        <f>IF($A6="","",TEXT($A6,"ddd"))</f>
        <v/>
      </c>
      <c r="C6" s="4" t="n"/>
      <c r="D6" s="4" t="n"/>
      <c r="E6" s="4" t="n"/>
      <c r="F6" s="4" t="n"/>
      <c r="G6" s="6" t="n"/>
      <c r="H6" s="11">
        <f>IF($C6="","",IF($C6="Equipment",IFERROR(VLOOKUP($E6,EquipRates,IF(AND($F6&lt;&gt;"",$F6&lt;1),3,2),FALSE),0),IFERROR(VLOOKUP($C6,Trucks,2,FALSE),"")))</f>
        <v/>
      </c>
      <c r="I6" s="11">
        <f>IF($C6="","",CEILING(IF($H6&lt;&gt;"",$H6,IF($G6="",0,$G6))*IF($F6="",1,$F6),RoundInc))</f>
        <v/>
      </c>
      <c r="J6" s="4" t="n"/>
      <c r="K6" s="9">
        <f>IF($C6="","",IF(OR($C6="Truck stock",$C6="Purchase",$C6="Tech expense",$C6="Other"),"Yes","No"))</f>
        <v/>
      </c>
      <c r="L6" s="4" t="n"/>
      <c r="M6" s="9">
        <f>IF($A6="","",COUNTIF($A$2:$A6,$A6))</f>
        <v/>
      </c>
      <c r="N6" s="9">
        <f>IF($A6="","",TEXT($A6,"yyyy-mm-dd")&amp;"#"&amp;$M6)</f>
        <v/>
      </c>
    </row>
    <row r="7">
      <c r="A7" s="8" t="n"/>
      <c r="B7" s="9">
        <f>IF($A7="","",TEXT($A7,"ddd"))</f>
        <v/>
      </c>
      <c r="C7" s="4" t="n"/>
      <c r="D7" s="4" t="n"/>
      <c r="E7" s="4" t="n"/>
      <c r="F7" s="4" t="n"/>
      <c r="G7" s="6" t="n"/>
      <c r="H7" s="11">
        <f>IF($C7="","",IF($C7="Equipment",IFERROR(VLOOKUP($E7,EquipRates,IF(AND($F7&lt;&gt;"",$F7&lt;1),3,2),FALSE),0),IFERROR(VLOOKUP($C7,Trucks,2,FALSE),"")))</f>
        <v/>
      </c>
      <c r="I7" s="11">
        <f>IF($C7="","",CEILING(IF($H7&lt;&gt;"",$H7,IF($G7="",0,$G7))*IF($F7="",1,$F7),RoundInc))</f>
        <v/>
      </c>
      <c r="J7" s="4" t="n"/>
      <c r="K7" s="9">
        <f>IF($C7="","",IF(OR($C7="Truck stock",$C7="Purchase",$C7="Tech expense",$C7="Other"),"Yes","No"))</f>
        <v/>
      </c>
      <c r="L7" s="4" t="n"/>
      <c r="M7" s="9">
        <f>IF($A7="","",COUNTIF($A$2:$A7,$A7))</f>
        <v/>
      </c>
      <c r="N7" s="9">
        <f>IF($A7="","",TEXT($A7,"yyyy-mm-dd")&amp;"#"&amp;$M7)</f>
        <v/>
      </c>
    </row>
    <row r="8">
      <c r="A8" s="8" t="n"/>
      <c r="B8" s="9">
        <f>IF($A8="","",TEXT($A8,"ddd"))</f>
        <v/>
      </c>
      <c r="C8" s="4" t="n"/>
      <c r="D8" s="4" t="n"/>
      <c r="E8" s="4" t="n"/>
      <c r="F8" s="4" t="n"/>
      <c r="G8" s="6" t="n"/>
      <c r="H8" s="11">
        <f>IF($C8="","",IF($C8="Equipment",IFERROR(VLOOKUP($E8,EquipRates,IF(AND($F8&lt;&gt;"",$F8&lt;1),3,2),FALSE),0),IFERROR(VLOOKUP($C8,Trucks,2,FALSE),"")))</f>
        <v/>
      </c>
      <c r="I8" s="11">
        <f>IF($C8="","",CEILING(IF($H8&lt;&gt;"",$H8,IF($G8="",0,$G8))*IF($F8="",1,$F8),RoundInc))</f>
        <v/>
      </c>
      <c r="J8" s="4" t="n"/>
      <c r="K8" s="9">
        <f>IF($C8="","",IF(OR($C8="Truck stock",$C8="Purchase",$C8="Tech expense",$C8="Other"),"Yes","No"))</f>
        <v/>
      </c>
      <c r="L8" s="4" t="n"/>
      <c r="M8" s="9">
        <f>IF($A8="","",COUNTIF($A$2:$A8,$A8))</f>
        <v/>
      </c>
      <c r="N8" s="9">
        <f>IF($A8="","",TEXT($A8,"yyyy-mm-dd")&amp;"#"&amp;$M8)</f>
        <v/>
      </c>
    </row>
    <row r="9">
      <c r="A9" s="8" t="n"/>
      <c r="B9" s="9">
        <f>IF($A9="","",TEXT($A9,"ddd"))</f>
        <v/>
      </c>
      <c r="C9" s="4" t="n"/>
      <c r="D9" s="4" t="n"/>
      <c r="E9" s="4" t="n"/>
      <c r="F9" s="4" t="n"/>
      <c r="G9" s="6" t="n"/>
      <c r="H9" s="11">
        <f>IF($C9="","",IF($C9="Equipment",IFERROR(VLOOKUP($E9,EquipRates,IF(AND($F9&lt;&gt;"",$F9&lt;1),3,2),FALSE),0),IFERROR(VLOOKUP($C9,Trucks,2,FALSE),"")))</f>
        <v/>
      </c>
      <c r="I9" s="11">
        <f>IF($C9="","",CEILING(IF($H9&lt;&gt;"",$H9,IF($G9="",0,$G9))*IF($F9="",1,$F9),RoundInc))</f>
        <v/>
      </c>
      <c r="J9" s="4" t="n"/>
      <c r="K9" s="9">
        <f>IF($C9="","",IF(OR($C9="Truck stock",$C9="Purchase",$C9="Tech expense",$C9="Other"),"Yes","No"))</f>
        <v/>
      </c>
      <c r="L9" s="4" t="n"/>
      <c r="M9" s="9">
        <f>IF($A9="","",COUNTIF($A$2:$A9,$A9))</f>
        <v/>
      </c>
      <c r="N9" s="9">
        <f>IF($A9="","",TEXT($A9,"yyyy-mm-dd")&amp;"#"&amp;$M9)</f>
        <v/>
      </c>
    </row>
    <row r="10">
      <c r="A10" s="8" t="n"/>
      <c r="B10" s="9">
        <f>IF($A10="","",TEXT($A10,"ddd"))</f>
        <v/>
      </c>
      <c r="C10" s="4" t="n"/>
      <c r="D10" s="4" t="n"/>
      <c r="E10" s="4" t="n"/>
      <c r="F10" s="4" t="n"/>
      <c r="G10" s="6" t="n"/>
      <c r="H10" s="11">
        <f>IF($C10="","",IF($C10="Equipment",IFERROR(VLOOKUP($E10,EquipRates,IF(AND($F10&lt;&gt;"",$F10&lt;1),3,2),FALSE),0),IFERROR(VLOOKUP($C10,Trucks,2,FALSE),"")))</f>
        <v/>
      </c>
      <c r="I10" s="11">
        <f>IF($C10="","",CEILING(IF($H10&lt;&gt;"",$H10,IF($G10="",0,$G10))*IF($F10="",1,$F10),RoundInc))</f>
        <v/>
      </c>
      <c r="J10" s="4" t="n"/>
      <c r="K10" s="9">
        <f>IF($C10="","",IF(OR($C10="Truck stock",$C10="Purchase",$C10="Tech expense",$C10="Other"),"Yes","No"))</f>
        <v/>
      </c>
      <c r="L10" s="4" t="n"/>
      <c r="M10" s="9">
        <f>IF($A10="","",COUNTIF($A$2:$A10,$A10))</f>
        <v/>
      </c>
      <c r="N10" s="9">
        <f>IF($A10="","",TEXT($A10,"yyyy-mm-dd")&amp;"#"&amp;$M10)</f>
        <v/>
      </c>
    </row>
    <row r="11">
      <c r="A11" s="8" t="n"/>
      <c r="B11" s="9">
        <f>IF($A11="","",TEXT($A11,"ddd"))</f>
        <v/>
      </c>
      <c r="C11" s="4" t="n"/>
      <c r="D11" s="4" t="n"/>
      <c r="E11" s="4" t="n"/>
      <c r="F11" s="4" t="n"/>
      <c r="G11" s="6" t="n"/>
      <c r="H11" s="11">
        <f>IF($C11="","",IF($C11="Equipment",IFERROR(VLOOKUP($E11,EquipRates,IF(AND($F11&lt;&gt;"",$F11&lt;1),3,2),FALSE),0),IFERROR(VLOOKUP($C11,Trucks,2,FALSE),"")))</f>
        <v/>
      </c>
      <c r="I11" s="11">
        <f>IF($C11="","",CEILING(IF($H11&lt;&gt;"",$H11,IF($G11="",0,$G11))*IF($F11="",1,$F11),RoundInc))</f>
        <v/>
      </c>
      <c r="J11" s="4" t="n"/>
      <c r="K11" s="9">
        <f>IF($C11="","",IF(OR($C11="Truck stock",$C11="Purchase",$C11="Tech expense",$C11="Other"),"Yes","No"))</f>
        <v/>
      </c>
      <c r="L11" s="4" t="n"/>
      <c r="M11" s="9">
        <f>IF($A11="","",COUNTIF($A$2:$A11,$A11))</f>
        <v/>
      </c>
      <c r="N11" s="9">
        <f>IF($A11="","",TEXT($A11,"yyyy-mm-dd")&amp;"#"&amp;$M11)</f>
        <v/>
      </c>
    </row>
    <row r="12">
      <c r="A12" s="8" t="n"/>
      <c r="B12" s="9">
        <f>IF($A12="","",TEXT($A12,"ddd"))</f>
        <v/>
      </c>
      <c r="C12" s="4" t="n"/>
      <c r="D12" s="4" t="n"/>
      <c r="E12" s="4" t="n"/>
      <c r="F12" s="4" t="n"/>
      <c r="G12" s="6" t="n"/>
      <c r="H12" s="11">
        <f>IF($C12="","",IF($C12="Equipment",IFERROR(VLOOKUP($E12,EquipRates,IF(AND($F12&lt;&gt;"",$F12&lt;1),3,2),FALSE),0),IFERROR(VLOOKUP($C12,Trucks,2,FALSE),"")))</f>
        <v/>
      </c>
      <c r="I12" s="11">
        <f>IF($C12="","",CEILING(IF($H12&lt;&gt;"",$H12,IF($G12="",0,$G12))*IF($F12="",1,$F12),RoundInc))</f>
        <v/>
      </c>
      <c r="J12" s="4" t="n"/>
      <c r="K12" s="9">
        <f>IF($C12="","",IF(OR($C12="Truck stock",$C12="Purchase",$C12="Tech expense",$C12="Other"),"Yes","No"))</f>
        <v/>
      </c>
      <c r="L12" s="4" t="n"/>
      <c r="M12" s="9">
        <f>IF($A12="","",COUNTIF($A$2:$A12,$A12))</f>
        <v/>
      </c>
      <c r="N12" s="9">
        <f>IF($A12="","",TEXT($A12,"yyyy-mm-dd")&amp;"#"&amp;$M12)</f>
        <v/>
      </c>
    </row>
    <row r="13">
      <c r="A13" s="8" t="n"/>
      <c r="B13" s="9">
        <f>IF($A13="","",TEXT($A13,"ddd"))</f>
        <v/>
      </c>
      <c r="C13" s="4" t="n"/>
      <c r="D13" s="4" t="n"/>
      <c r="E13" s="4" t="n"/>
      <c r="F13" s="4" t="n"/>
      <c r="G13" s="6" t="n"/>
      <c r="H13" s="11">
        <f>IF($C13="","",IF($C13="Equipment",IFERROR(VLOOKUP($E13,EquipRates,IF(AND($F13&lt;&gt;"",$F13&lt;1),3,2),FALSE),0),IFERROR(VLOOKUP($C13,Trucks,2,FALSE),"")))</f>
        <v/>
      </c>
      <c r="I13" s="11">
        <f>IF($C13="","",CEILING(IF($H13&lt;&gt;"",$H13,IF($G13="",0,$G13))*IF($F13="",1,$F13),RoundInc))</f>
        <v/>
      </c>
      <c r="J13" s="4" t="n"/>
      <c r="K13" s="9">
        <f>IF($C13="","",IF(OR($C13="Truck stock",$C13="Purchase",$C13="Tech expense",$C13="Other"),"Yes","No"))</f>
        <v/>
      </c>
      <c r="L13" s="4" t="n"/>
      <c r="M13" s="9">
        <f>IF($A13="","",COUNTIF($A$2:$A13,$A13))</f>
        <v/>
      </c>
      <c r="N13" s="9">
        <f>IF($A13="","",TEXT($A13,"yyyy-mm-dd")&amp;"#"&amp;$M13)</f>
        <v/>
      </c>
    </row>
    <row r="14">
      <c r="A14" s="8" t="n"/>
      <c r="B14" s="9">
        <f>IF($A14="","",TEXT($A14,"ddd"))</f>
        <v/>
      </c>
      <c r="C14" s="4" t="n"/>
      <c r="D14" s="4" t="n"/>
      <c r="E14" s="4" t="n"/>
      <c r="F14" s="4" t="n"/>
      <c r="G14" s="6" t="n"/>
      <c r="H14" s="11">
        <f>IF($C14="","",IF($C14="Equipment",IFERROR(VLOOKUP($E14,EquipRates,IF(AND($F14&lt;&gt;"",$F14&lt;1),3,2),FALSE),0),IFERROR(VLOOKUP($C14,Trucks,2,FALSE),"")))</f>
        <v/>
      </c>
      <c r="I14" s="11">
        <f>IF($C14="","",CEILING(IF($H14&lt;&gt;"",$H14,IF($G14="",0,$G14))*IF($F14="",1,$F14),RoundInc))</f>
        <v/>
      </c>
      <c r="J14" s="4" t="n"/>
      <c r="K14" s="9">
        <f>IF($C14="","",IF(OR($C14="Truck stock",$C14="Purchase",$C14="Tech expense",$C14="Other"),"Yes","No"))</f>
        <v/>
      </c>
      <c r="L14" s="4" t="n"/>
      <c r="M14" s="9">
        <f>IF($A14="","",COUNTIF($A$2:$A14,$A14))</f>
        <v/>
      </c>
      <c r="N14" s="9">
        <f>IF($A14="","",TEXT($A14,"yyyy-mm-dd")&amp;"#"&amp;$M14)</f>
        <v/>
      </c>
    </row>
    <row r="15">
      <c r="A15" s="8" t="n"/>
      <c r="B15" s="9">
        <f>IF($A15="","",TEXT($A15,"ddd"))</f>
        <v/>
      </c>
      <c r="C15" s="4" t="n"/>
      <c r="D15" s="4" t="n"/>
      <c r="E15" s="4" t="n"/>
      <c r="F15" s="4" t="n"/>
      <c r="G15" s="6" t="n"/>
      <c r="H15" s="11">
        <f>IF($C15="","",IF($C15="Equipment",IFERROR(VLOOKUP($E15,EquipRates,IF(AND($F15&lt;&gt;"",$F15&lt;1),3,2),FALSE),0),IFERROR(VLOOKUP($C15,Trucks,2,FALSE),"")))</f>
        <v/>
      </c>
      <c r="I15" s="11">
        <f>IF($C15="","",CEILING(IF($H15&lt;&gt;"",$H15,IF($G15="",0,$G15))*IF($F15="",1,$F15),RoundInc))</f>
        <v/>
      </c>
      <c r="J15" s="4" t="n"/>
      <c r="K15" s="9">
        <f>IF($C15="","",IF(OR($C15="Truck stock",$C15="Purchase",$C15="Tech expense",$C15="Other"),"Yes","No"))</f>
        <v/>
      </c>
      <c r="L15" s="4" t="n"/>
      <c r="M15" s="9">
        <f>IF($A15="","",COUNTIF($A$2:$A15,$A15))</f>
        <v/>
      </c>
      <c r="N15" s="9">
        <f>IF($A15="","",TEXT($A15,"yyyy-mm-dd")&amp;"#"&amp;$M15)</f>
        <v/>
      </c>
    </row>
    <row r="16">
      <c r="A16" s="8" t="n"/>
      <c r="B16" s="9">
        <f>IF($A16="","",TEXT($A16,"ddd"))</f>
        <v/>
      </c>
      <c r="C16" s="4" t="n"/>
      <c r="D16" s="4" t="n"/>
      <c r="E16" s="4" t="n"/>
      <c r="F16" s="4" t="n"/>
      <c r="G16" s="6" t="n"/>
      <c r="H16" s="11">
        <f>IF($C16="","",IF($C16="Equipment",IFERROR(VLOOKUP($E16,EquipRates,IF(AND($F16&lt;&gt;"",$F16&lt;1),3,2),FALSE),0),IFERROR(VLOOKUP($C16,Trucks,2,FALSE),"")))</f>
        <v/>
      </c>
      <c r="I16" s="11">
        <f>IF($C16="","",CEILING(IF($H16&lt;&gt;"",$H16,IF($G16="",0,$G16))*IF($F16="",1,$F16),RoundInc))</f>
        <v/>
      </c>
      <c r="J16" s="4" t="n"/>
      <c r="K16" s="9">
        <f>IF($C16="","",IF(OR($C16="Truck stock",$C16="Purchase",$C16="Tech expense",$C16="Other"),"Yes","No"))</f>
        <v/>
      </c>
      <c r="L16" s="4" t="n"/>
      <c r="M16" s="9">
        <f>IF($A16="","",COUNTIF($A$2:$A16,$A16))</f>
        <v/>
      </c>
      <c r="N16" s="9">
        <f>IF($A16="","",TEXT($A16,"yyyy-mm-dd")&amp;"#"&amp;$M16)</f>
        <v/>
      </c>
    </row>
    <row r="17">
      <c r="A17" s="8" t="n"/>
      <c r="B17" s="9">
        <f>IF($A17="","",TEXT($A17,"ddd"))</f>
        <v/>
      </c>
      <c r="C17" s="4" t="n"/>
      <c r="D17" s="4" t="n"/>
      <c r="E17" s="4" t="n"/>
      <c r="F17" s="4" t="n"/>
      <c r="G17" s="6" t="n"/>
      <c r="H17" s="11">
        <f>IF($C17="","",IF($C17="Equipment",IFERROR(VLOOKUP($E17,EquipRates,IF(AND($F17&lt;&gt;"",$F17&lt;1),3,2),FALSE),0),IFERROR(VLOOKUP($C17,Trucks,2,FALSE),"")))</f>
        <v/>
      </c>
      <c r="I17" s="11">
        <f>IF($C17="","",CEILING(IF($H17&lt;&gt;"",$H17,IF($G17="",0,$G17))*IF($F17="",1,$F17),RoundInc))</f>
        <v/>
      </c>
      <c r="J17" s="4" t="n"/>
      <c r="K17" s="9">
        <f>IF($C17="","",IF(OR($C17="Truck stock",$C17="Purchase",$C17="Tech expense",$C17="Other"),"Yes","No"))</f>
        <v/>
      </c>
      <c r="L17" s="4" t="n"/>
      <c r="M17" s="9">
        <f>IF($A17="","",COUNTIF($A$2:$A17,$A17))</f>
        <v/>
      </c>
      <c r="N17" s="9">
        <f>IF($A17="","",TEXT($A17,"yyyy-mm-dd")&amp;"#"&amp;$M17)</f>
        <v/>
      </c>
    </row>
    <row r="18">
      <c r="A18" s="8" t="n"/>
      <c r="B18" s="9">
        <f>IF($A18="","",TEXT($A18,"ddd"))</f>
        <v/>
      </c>
      <c r="C18" s="4" t="n"/>
      <c r="D18" s="4" t="n"/>
      <c r="E18" s="4" t="n"/>
      <c r="F18" s="4" t="n"/>
      <c r="G18" s="6" t="n"/>
      <c r="H18" s="11">
        <f>IF($C18="","",IF($C18="Equipment",IFERROR(VLOOKUP($E18,EquipRates,IF(AND($F18&lt;&gt;"",$F18&lt;1),3,2),FALSE),0),IFERROR(VLOOKUP($C18,Trucks,2,FALSE),"")))</f>
        <v/>
      </c>
      <c r="I18" s="11">
        <f>IF($C18="","",CEILING(IF($H18&lt;&gt;"",$H18,IF($G18="",0,$G18))*IF($F18="",1,$F18),RoundInc))</f>
        <v/>
      </c>
      <c r="J18" s="4" t="n"/>
      <c r="K18" s="9">
        <f>IF($C18="","",IF(OR($C18="Truck stock",$C18="Purchase",$C18="Tech expense",$C18="Other"),"Yes","No"))</f>
        <v/>
      </c>
      <c r="L18" s="4" t="n"/>
      <c r="M18" s="9">
        <f>IF($A18="","",COUNTIF($A$2:$A18,$A18))</f>
        <v/>
      </c>
      <c r="N18" s="9">
        <f>IF($A18="","",TEXT($A18,"yyyy-mm-dd")&amp;"#"&amp;$M18)</f>
        <v/>
      </c>
    </row>
    <row r="19">
      <c r="A19" s="8" t="n"/>
      <c r="B19" s="9">
        <f>IF($A19="","",TEXT($A19,"ddd"))</f>
        <v/>
      </c>
      <c r="C19" s="4" t="n"/>
      <c r="D19" s="4" t="n"/>
      <c r="E19" s="4" t="n"/>
      <c r="F19" s="4" t="n"/>
      <c r="G19" s="6" t="n"/>
      <c r="H19" s="11">
        <f>IF($C19="","",IF($C19="Equipment",IFERROR(VLOOKUP($E19,EquipRates,IF(AND($F19&lt;&gt;"",$F19&lt;1),3,2),FALSE),0),IFERROR(VLOOKUP($C19,Trucks,2,FALSE),"")))</f>
        <v/>
      </c>
      <c r="I19" s="11">
        <f>IF($C19="","",CEILING(IF($H19&lt;&gt;"",$H19,IF($G19="",0,$G19))*IF($F19="",1,$F19),RoundInc))</f>
        <v/>
      </c>
      <c r="J19" s="4" t="n"/>
      <c r="K19" s="9">
        <f>IF($C19="","",IF(OR($C19="Truck stock",$C19="Purchase",$C19="Tech expense",$C19="Other"),"Yes","No"))</f>
        <v/>
      </c>
      <c r="L19" s="4" t="n"/>
      <c r="M19" s="9">
        <f>IF($A19="","",COUNTIF($A$2:$A19,$A19))</f>
        <v/>
      </c>
      <c r="N19" s="9">
        <f>IF($A19="","",TEXT($A19,"yyyy-mm-dd")&amp;"#"&amp;$M19)</f>
        <v/>
      </c>
    </row>
    <row r="20">
      <c r="A20" s="8" t="n"/>
      <c r="B20" s="9">
        <f>IF($A20="","",TEXT($A20,"ddd"))</f>
        <v/>
      </c>
      <c r="C20" s="4" t="n"/>
      <c r="D20" s="4" t="n"/>
      <c r="E20" s="4" t="n"/>
      <c r="F20" s="4" t="n"/>
      <c r="G20" s="6" t="n"/>
      <c r="H20" s="11">
        <f>IF($C20="","",IF($C20="Equipment",IFERROR(VLOOKUP($E20,EquipRates,IF(AND($F20&lt;&gt;"",$F20&lt;1),3,2),FALSE),0),IFERROR(VLOOKUP($C20,Trucks,2,FALSE),"")))</f>
        <v/>
      </c>
      <c r="I20" s="11">
        <f>IF($C20="","",CEILING(IF($H20&lt;&gt;"",$H20,IF($G20="",0,$G20))*IF($F20="",1,$F20),RoundInc))</f>
        <v/>
      </c>
      <c r="J20" s="4" t="n"/>
      <c r="K20" s="9">
        <f>IF($C20="","",IF(OR($C20="Truck stock",$C20="Purchase",$C20="Tech expense",$C20="Other"),"Yes","No"))</f>
        <v/>
      </c>
      <c r="L20" s="4" t="n"/>
      <c r="M20" s="9">
        <f>IF($A20="","",COUNTIF($A$2:$A20,$A20))</f>
        <v/>
      </c>
      <c r="N20" s="9">
        <f>IF($A20="","",TEXT($A20,"yyyy-mm-dd")&amp;"#"&amp;$M20)</f>
        <v/>
      </c>
    </row>
    <row r="21">
      <c r="A21" s="8" t="n"/>
      <c r="B21" s="9">
        <f>IF($A21="","",TEXT($A21,"ddd"))</f>
        <v/>
      </c>
      <c r="C21" s="4" t="n"/>
      <c r="D21" s="4" t="n"/>
      <c r="E21" s="4" t="n"/>
      <c r="F21" s="4" t="n"/>
      <c r="G21" s="6" t="n"/>
      <c r="H21" s="11">
        <f>IF($C21="","",IF($C21="Equipment",IFERROR(VLOOKUP($E21,EquipRates,IF(AND($F21&lt;&gt;"",$F21&lt;1),3,2),FALSE),0),IFERROR(VLOOKUP($C21,Trucks,2,FALSE),"")))</f>
        <v/>
      </c>
      <c r="I21" s="11">
        <f>IF($C21="","",CEILING(IF($H21&lt;&gt;"",$H21,IF($G21="",0,$G21))*IF($F21="",1,$F21),RoundInc))</f>
        <v/>
      </c>
      <c r="J21" s="4" t="n"/>
      <c r="K21" s="9">
        <f>IF($C21="","",IF(OR($C21="Truck stock",$C21="Purchase",$C21="Tech expense",$C21="Other"),"Yes","No"))</f>
        <v/>
      </c>
      <c r="L21" s="4" t="n"/>
      <c r="M21" s="9">
        <f>IF($A21="","",COUNTIF($A$2:$A21,$A21))</f>
        <v/>
      </c>
      <c r="N21" s="9">
        <f>IF($A21="","",TEXT($A21,"yyyy-mm-dd")&amp;"#"&amp;$M21)</f>
        <v/>
      </c>
    </row>
    <row r="22">
      <c r="A22" s="8" t="n"/>
      <c r="B22" s="9">
        <f>IF($A22="","",TEXT($A22,"ddd"))</f>
        <v/>
      </c>
      <c r="C22" s="4" t="n"/>
      <c r="D22" s="4" t="n"/>
      <c r="E22" s="4" t="n"/>
      <c r="F22" s="4" t="n"/>
      <c r="G22" s="6" t="n"/>
      <c r="H22" s="11">
        <f>IF($C22="","",IF($C22="Equipment",IFERROR(VLOOKUP($E22,EquipRates,IF(AND($F22&lt;&gt;"",$F22&lt;1),3,2),FALSE),0),IFERROR(VLOOKUP($C22,Trucks,2,FALSE),"")))</f>
        <v/>
      </c>
      <c r="I22" s="11">
        <f>IF($C22="","",CEILING(IF($H22&lt;&gt;"",$H22,IF($G22="",0,$G22))*IF($F22="",1,$F22),RoundInc))</f>
        <v/>
      </c>
      <c r="J22" s="4" t="n"/>
      <c r="K22" s="9">
        <f>IF($C22="","",IF(OR($C22="Truck stock",$C22="Purchase",$C22="Tech expense",$C22="Other"),"Yes","No"))</f>
        <v/>
      </c>
      <c r="L22" s="4" t="n"/>
      <c r="M22" s="9">
        <f>IF($A22="","",COUNTIF($A$2:$A22,$A22))</f>
        <v/>
      </c>
      <c r="N22" s="9">
        <f>IF($A22="","",TEXT($A22,"yyyy-mm-dd")&amp;"#"&amp;$M22)</f>
        <v/>
      </c>
    </row>
    <row r="23">
      <c r="A23" s="8" t="n"/>
      <c r="B23" s="9">
        <f>IF($A23="","",TEXT($A23,"ddd"))</f>
        <v/>
      </c>
      <c r="C23" s="4" t="n"/>
      <c r="D23" s="4" t="n"/>
      <c r="E23" s="4" t="n"/>
      <c r="F23" s="4" t="n"/>
      <c r="G23" s="6" t="n"/>
      <c r="H23" s="11">
        <f>IF($C23="","",IF($C23="Equipment",IFERROR(VLOOKUP($E23,EquipRates,IF(AND($F23&lt;&gt;"",$F23&lt;1),3,2),FALSE),0),IFERROR(VLOOKUP($C23,Trucks,2,FALSE),"")))</f>
        <v/>
      </c>
      <c r="I23" s="11">
        <f>IF($C23="","",CEILING(IF($H23&lt;&gt;"",$H23,IF($G23="",0,$G23))*IF($F23="",1,$F23),RoundInc))</f>
        <v/>
      </c>
      <c r="J23" s="4" t="n"/>
      <c r="K23" s="9">
        <f>IF($C23="","",IF(OR($C23="Truck stock",$C23="Purchase",$C23="Tech expense",$C23="Other"),"Yes","No"))</f>
        <v/>
      </c>
      <c r="L23" s="4" t="n"/>
      <c r="M23" s="9">
        <f>IF($A23="","",COUNTIF($A$2:$A23,$A23))</f>
        <v/>
      </c>
      <c r="N23" s="9">
        <f>IF($A23="","",TEXT($A23,"yyyy-mm-dd")&amp;"#"&amp;$M23)</f>
        <v/>
      </c>
    </row>
    <row r="24">
      <c r="A24" s="8" t="n"/>
      <c r="B24" s="9">
        <f>IF($A24="","",TEXT($A24,"ddd"))</f>
        <v/>
      </c>
      <c r="C24" s="4" t="n"/>
      <c r="D24" s="4" t="n"/>
      <c r="E24" s="4" t="n"/>
      <c r="F24" s="4" t="n"/>
      <c r="G24" s="6" t="n"/>
      <c r="H24" s="11">
        <f>IF($C24="","",IF($C24="Equipment",IFERROR(VLOOKUP($E24,EquipRates,IF(AND($F24&lt;&gt;"",$F24&lt;1),3,2),FALSE),0),IFERROR(VLOOKUP($C24,Trucks,2,FALSE),"")))</f>
        <v/>
      </c>
      <c r="I24" s="11">
        <f>IF($C24="","",CEILING(IF($H24&lt;&gt;"",$H24,IF($G24="",0,$G24))*IF($F24="",1,$F24),RoundInc))</f>
        <v/>
      </c>
      <c r="J24" s="4" t="n"/>
      <c r="K24" s="9">
        <f>IF($C24="","",IF(OR($C24="Truck stock",$C24="Purchase",$C24="Tech expense",$C24="Other"),"Yes","No"))</f>
        <v/>
      </c>
      <c r="L24" s="4" t="n"/>
      <c r="M24" s="9">
        <f>IF($A24="","",COUNTIF($A$2:$A24,$A24))</f>
        <v/>
      </c>
      <c r="N24" s="9">
        <f>IF($A24="","",TEXT($A24,"yyyy-mm-dd")&amp;"#"&amp;$M24)</f>
        <v/>
      </c>
    </row>
    <row r="25">
      <c r="A25" s="8" t="n"/>
      <c r="B25" s="9">
        <f>IF($A25="","",TEXT($A25,"ddd"))</f>
        <v/>
      </c>
      <c r="C25" s="4" t="n"/>
      <c r="D25" s="4" t="n"/>
      <c r="E25" s="4" t="n"/>
      <c r="F25" s="4" t="n"/>
      <c r="G25" s="6" t="n"/>
      <c r="H25" s="11">
        <f>IF($C25="","",IF($C25="Equipment",IFERROR(VLOOKUP($E25,EquipRates,IF(AND($F25&lt;&gt;"",$F25&lt;1),3,2),FALSE),0),IFERROR(VLOOKUP($C25,Trucks,2,FALSE),"")))</f>
        <v/>
      </c>
      <c r="I25" s="11">
        <f>IF($C25="","",CEILING(IF($H25&lt;&gt;"",$H25,IF($G25="",0,$G25))*IF($F25="",1,$F25),RoundInc))</f>
        <v/>
      </c>
      <c r="J25" s="4" t="n"/>
      <c r="K25" s="9">
        <f>IF($C25="","",IF(OR($C25="Truck stock",$C25="Purchase",$C25="Tech expense",$C25="Other"),"Yes","No"))</f>
        <v/>
      </c>
      <c r="L25" s="4" t="n"/>
      <c r="M25" s="9">
        <f>IF($A25="","",COUNTIF($A$2:$A25,$A25))</f>
        <v/>
      </c>
      <c r="N25" s="9">
        <f>IF($A25="","",TEXT($A25,"yyyy-mm-dd")&amp;"#"&amp;$M25)</f>
        <v/>
      </c>
    </row>
    <row r="26">
      <c r="A26" s="8" t="n"/>
      <c r="B26" s="9">
        <f>IF($A26="","",TEXT($A26,"ddd"))</f>
        <v/>
      </c>
      <c r="C26" s="4" t="n"/>
      <c r="D26" s="4" t="n"/>
      <c r="E26" s="4" t="n"/>
      <c r="F26" s="4" t="n"/>
      <c r="G26" s="6" t="n"/>
      <c r="H26" s="11">
        <f>IF($C26="","",IF($C26="Equipment",IFERROR(VLOOKUP($E26,EquipRates,IF(AND($F26&lt;&gt;"",$F26&lt;1),3,2),FALSE),0),IFERROR(VLOOKUP($C26,Trucks,2,FALSE),"")))</f>
        <v/>
      </c>
      <c r="I26" s="11">
        <f>IF($C26="","",CEILING(IF($H26&lt;&gt;"",$H26,IF($G26="",0,$G26))*IF($F26="",1,$F26),RoundInc))</f>
        <v/>
      </c>
      <c r="J26" s="4" t="n"/>
      <c r="K26" s="9">
        <f>IF($C26="","",IF(OR($C26="Truck stock",$C26="Purchase",$C26="Tech expense",$C26="Other"),"Yes","No"))</f>
        <v/>
      </c>
      <c r="L26" s="4" t="n"/>
      <c r="M26" s="9">
        <f>IF($A26="","",COUNTIF($A$2:$A26,$A26))</f>
        <v/>
      </c>
      <c r="N26" s="9">
        <f>IF($A26="","",TEXT($A26,"yyyy-mm-dd")&amp;"#"&amp;$M26)</f>
        <v/>
      </c>
    </row>
    <row r="27">
      <c r="A27" s="8" t="n"/>
      <c r="B27" s="9">
        <f>IF($A27="","",TEXT($A27,"ddd"))</f>
        <v/>
      </c>
      <c r="C27" s="4" t="n"/>
      <c r="D27" s="4" t="n"/>
      <c r="E27" s="4" t="n"/>
      <c r="F27" s="4" t="n"/>
      <c r="G27" s="6" t="n"/>
      <c r="H27" s="11">
        <f>IF($C27="","",IF($C27="Equipment",IFERROR(VLOOKUP($E27,EquipRates,IF(AND($F27&lt;&gt;"",$F27&lt;1),3,2),FALSE),0),IFERROR(VLOOKUP($C27,Trucks,2,FALSE),"")))</f>
        <v/>
      </c>
      <c r="I27" s="11">
        <f>IF($C27="","",CEILING(IF($H27&lt;&gt;"",$H27,IF($G27="",0,$G27))*IF($F27="",1,$F27),RoundInc))</f>
        <v/>
      </c>
      <c r="J27" s="4" t="n"/>
      <c r="K27" s="9">
        <f>IF($C27="","",IF(OR($C27="Truck stock",$C27="Purchase",$C27="Tech expense",$C27="Other"),"Yes","No"))</f>
        <v/>
      </c>
      <c r="L27" s="4" t="n"/>
      <c r="M27" s="9">
        <f>IF($A27="","",COUNTIF($A$2:$A27,$A27))</f>
        <v/>
      </c>
      <c r="N27" s="9">
        <f>IF($A27="","",TEXT($A27,"yyyy-mm-dd")&amp;"#"&amp;$M27)</f>
        <v/>
      </c>
    </row>
    <row r="28">
      <c r="A28" s="8" t="n"/>
      <c r="B28" s="9">
        <f>IF($A28="","",TEXT($A28,"ddd"))</f>
        <v/>
      </c>
      <c r="C28" s="4" t="n"/>
      <c r="D28" s="4" t="n"/>
      <c r="E28" s="4" t="n"/>
      <c r="F28" s="4" t="n"/>
      <c r="G28" s="6" t="n"/>
      <c r="H28" s="11">
        <f>IF($C28="","",IF($C28="Equipment",IFERROR(VLOOKUP($E28,EquipRates,IF(AND($F28&lt;&gt;"",$F28&lt;1),3,2),FALSE),0),IFERROR(VLOOKUP($C28,Trucks,2,FALSE),"")))</f>
        <v/>
      </c>
      <c r="I28" s="11">
        <f>IF($C28="","",CEILING(IF($H28&lt;&gt;"",$H28,IF($G28="",0,$G28))*IF($F28="",1,$F28),RoundInc))</f>
        <v/>
      </c>
      <c r="J28" s="4" t="n"/>
      <c r="K28" s="9">
        <f>IF($C28="","",IF(OR($C28="Truck stock",$C28="Purchase",$C28="Tech expense",$C28="Other"),"Yes","No"))</f>
        <v/>
      </c>
      <c r="L28" s="4" t="n"/>
      <c r="M28" s="9">
        <f>IF($A28="","",COUNTIF($A$2:$A28,$A28))</f>
        <v/>
      </c>
      <c r="N28" s="9">
        <f>IF($A28="","",TEXT($A28,"yyyy-mm-dd")&amp;"#"&amp;$M28)</f>
        <v/>
      </c>
    </row>
    <row r="29">
      <c r="A29" s="8" t="n"/>
      <c r="B29" s="9">
        <f>IF($A29="","",TEXT($A29,"ddd"))</f>
        <v/>
      </c>
      <c r="C29" s="4" t="n"/>
      <c r="D29" s="4" t="n"/>
      <c r="E29" s="4" t="n"/>
      <c r="F29" s="4" t="n"/>
      <c r="G29" s="6" t="n"/>
      <c r="H29" s="11">
        <f>IF($C29="","",IF($C29="Equipment",IFERROR(VLOOKUP($E29,EquipRates,IF(AND($F29&lt;&gt;"",$F29&lt;1),3,2),FALSE),0),IFERROR(VLOOKUP($C29,Trucks,2,FALSE),"")))</f>
        <v/>
      </c>
      <c r="I29" s="11">
        <f>IF($C29="","",CEILING(IF($H29&lt;&gt;"",$H29,IF($G29="",0,$G29))*IF($F29="",1,$F29),RoundInc))</f>
        <v/>
      </c>
      <c r="J29" s="4" t="n"/>
      <c r="K29" s="9">
        <f>IF($C29="","",IF(OR($C29="Truck stock",$C29="Purchase",$C29="Tech expense",$C29="Other"),"Yes","No"))</f>
        <v/>
      </c>
      <c r="L29" s="4" t="n"/>
      <c r="M29" s="9">
        <f>IF($A29="","",COUNTIF($A$2:$A29,$A29))</f>
        <v/>
      </c>
      <c r="N29" s="9">
        <f>IF($A29="","",TEXT($A29,"yyyy-mm-dd")&amp;"#"&amp;$M29)</f>
        <v/>
      </c>
    </row>
    <row r="30">
      <c r="A30" s="8" t="n"/>
      <c r="B30" s="9">
        <f>IF($A30="","",TEXT($A30,"ddd"))</f>
        <v/>
      </c>
      <c r="C30" s="4" t="n"/>
      <c r="D30" s="4" t="n"/>
      <c r="E30" s="4" t="n"/>
      <c r="F30" s="4" t="n"/>
      <c r="G30" s="6" t="n"/>
      <c r="H30" s="11">
        <f>IF($C30="","",IF($C30="Equipment",IFERROR(VLOOKUP($E30,EquipRates,IF(AND($F30&lt;&gt;"",$F30&lt;1),3,2),FALSE),0),IFERROR(VLOOKUP($C30,Trucks,2,FALSE),"")))</f>
        <v/>
      </c>
      <c r="I30" s="11">
        <f>IF($C30="","",CEILING(IF($H30&lt;&gt;"",$H30,IF($G30="",0,$G30))*IF($F30="",1,$F30),RoundInc))</f>
        <v/>
      </c>
      <c r="J30" s="4" t="n"/>
      <c r="K30" s="9">
        <f>IF($C30="","",IF(OR($C30="Truck stock",$C30="Purchase",$C30="Tech expense",$C30="Other"),"Yes","No"))</f>
        <v/>
      </c>
      <c r="L30" s="4" t="n"/>
      <c r="M30" s="9">
        <f>IF($A30="","",COUNTIF($A$2:$A30,$A30))</f>
        <v/>
      </c>
      <c r="N30" s="9">
        <f>IF($A30="","",TEXT($A30,"yyyy-mm-dd")&amp;"#"&amp;$M30)</f>
        <v/>
      </c>
    </row>
    <row r="31">
      <c r="A31" s="8" t="n"/>
      <c r="B31" s="9">
        <f>IF($A31="","",TEXT($A31,"ddd"))</f>
        <v/>
      </c>
      <c r="C31" s="4" t="n"/>
      <c r="D31" s="4" t="n"/>
      <c r="E31" s="4" t="n"/>
      <c r="F31" s="4" t="n"/>
      <c r="G31" s="6" t="n"/>
      <c r="H31" s="11">
        <f>IF($C31="","",IF($C31="Equipment",IFERROR(VLOOKUP($E31,EquipRates,IF(AND($F31&lt;&gt;"",$F31&lt;1),3,2),FALSE),0),IFERROR(VLOOKUP($C31,Trucks,2,FALSE),"")))</f>
        <v/>
      </c>
      <c r="I31" s="11">
        <f>IF($C31="","",CEILING(IF($H31&lt;&gt;"",$H31,IF($G31="",0,$G31))*IF($F31="",1,$F31),RoundInc))</f>
        <v/>
      </c>
      <c r="J31" s="4" t="n"/>
      <c r="K31" s="9">
        <f>IF($C31="","",IF(OR($C31="Truck stock",$C31="Purchase",$C31="Tech expense",$C31="Other"),"Yes","No"))</f>
        <v/>
      </c>
      <c r="L31" s="4" t="n"/>
      <c r="M31" s="9">
        <f>IF($A31="","",COUNTIF($A$2:$A31,$A31))</f>
        <v/>
      </c>
      <c r="N31" s="9">
        <f>IF($A31="","",TEXT($A31,"yyyy-mm-dd")&amp;"#"&amp;$M31)</f>
        <v/>
      </c>
    </row>
    <row r="32">
      <c r="A32" s="8" t="n"/>
      <c r="B32" s="9">
        <f>IF($A32="","",TEXT($A32,"ddd"))</f>
        <v/>
      </c>
      <c r="C32" s="4" t="n"/>
      <c r="D32" s="4" t="n"/>
      <c r="E32" s="4" t="n"/>
      <c r="F32" s="4" t="n"/>
      <c r="G32" s="6" t="n"/>
      <c r="H32" s="11">
        <f>IF($C32="","",IF($C32="Equipment",IFERROR(VLOOKUP($E32,EquipRates,IF(AND($F32&lt;&gt;"",$F32&lt;1),3,2),FALSE),0),IFERROR(VLOOKUP($C32,Trucks,2,FALSE),"")))</f>
        <v/>
      </c>
      <c r="I32" s="11">
        <f>IF($C32="","",CEILING(IF($H32&lt;&gt;"",$H32,IF($G32="",0,$G32))*IF($F32="",1,$F32),RoundInc))</f>
        <v/>
      </c>
      <c r="J32" s="4" t="n"/>
      <c r="K32" s="9">
        <f>IF($C32="","",IF(OR($C32="Truck stock",$C32="Purchase",$C32="Tech expense",$C32="Other"),"Yes","No"))</f>
        <v/>
      </c>
      <c r="L32" s="4" t="n"/>
      <c r="M32" s="9">
        <f>IF($A32="","",COUNTIF($A$2:$A32,$A32))</f>
        <v/>
      </c>
      <c r="N32" s="9">
        <f>IF($A32="","",TEXT($A32,"yyyy-mm-dd")&amp;"#"&amp;$M32)</f>
        <v/>
      </c>
    </row>
    <row r="33">
      <c r="A33" s="8" t="n"/>
      <c r="B33" s="9">
        <f>IF($A33="","",TEXT($A33,"ddd"))</f>
        <v/>
      </c>
      <c r="C33" s="4" t="n"/>
      <c r="D33" s="4" t="n"/>
      <c r="E33" s="4" t="n"/>
      <c r="F33" s="4" t="n"/>
      <c r="G33" s="6" t="n"/>
      <c r="H33" s="11">
        <f>IF($C33="","",IF($C33="Equipment",IFERROR(VLOOKUP($E33,EquipRates,IF(AND($F33&lt;&gt;"",$F33&lt;1),3,2),FALSE),0),IFERROR(VLOOKUP($C33,Trucks,2,FALSE),"")))</f>
        <v/>
      </c>
      <c r="I33" s="11">
        <f>IF($C33="","",CEILING(IF($H33&lt;&gt;"",$H33,IF($G33="",0,$G33))*IF($F33="",1,$F33),RoundInc))</f>
        <v/>
      </c>
      <c r="J33" s="4" t="n"/>
      <c r="K33" s="9">
        <f>IF($C33="","",IF(OR($C33="Truck stock",$C33="Purchase",$C33="Tech expense",$C33="Other"),"Yes","No"))</f>
        <v/>
      </c>
      <c r="L33" s="4" t="n"/>
      <c r="M33" s="9">
        <f>IF($A33="","",COUNTIF($A$2:$A33,$A33))</f>
        <v/>
      </c>
      <c r="N33" s="9">
        <f>IF($A33="","",TEXT($A33,"yyyy-mm-dd")&amp;"#"&amp;$M33)</f>
        <v/>
      </c>
    </row>
    <row r="34">
      <c r="A34" s="8" t="n"/>
      <c r="B34" s="9">
        <f>IF($A34="","",TEXT($A34,"ddd"))</f>
        <v/>
      </c>
      <c r="C34" s="4" t="n"/>
      <c r="D34" s="4" t="n"/>
      <c r="E34" s="4" t="n"/>
      <c r="F34" s="4" t="n"/>
      <c r="G34" s="6" t="n"/>
      <c r="H34" s="11">
        <f>IF($C34="","",IF($C34="Equipment",IFERROR(VLOOKUP($E34,EquipRates,IF(AND($F34&lt;&gt;"",$F34&lt;1),3,2),FALSE),0),IFERROR(VLOOKUP($C34,Trucks,2,FALSE),"")))</f>
        <v/>
      </c>
      <c r="I34" s="11">
        <f>IF($C34="","",CEILING(IF($H34&lt;&gt;"",$H34,IF($G34="",0,$G34))*IF($F34="",1,$F34),RoundInc))</f>
        <v/>
      </c>
      <c r="J34" s="4" t="n"/>
      <c r="K34" s="9">
        <f>IF($C34="","",IF(OR($C34="Truck stock",$C34="Purchase",$C34="Tech expense",$C34="Other"),"Yes","No"))</f>
        <v/>
      </c>
      <c r="L34" s="4" t="n"/>
      <c r="M34" s="9">
        <f>IF($A34="","",COUNTIF($A$2:$A34,$A34))</f>
        <v/>
      </c>
      <c r="N34" s="9">
        <f>IF($A34="","",TEXT($A34,"yyyy-mm-dd")&amp;"#"&amp;$M34)</f>
        <v/>
      </c>
    </row>
    <row r="35">
      <c r="A35" s="8" t="n"/>
      <c r="B35" s="9">
        <f>IF($A35="","",TEXT($A35,"ddd"))</f>
        <v/>
      </c>
      <c r="C35" s="4" t="n"/>
      <c r="D35" s="4" t="n"/>
      <c r="E35" s="4" t="n"/>
      <c r="F35" s="4" t="n"/>
      <c r="G35" s="6" t="n"/>
      <c r="H35" s="11">
        <f>IF($C35="","",IF($C35="Equipment",IFERROR(VLOOKUP($E35,EquipRates,IF(AND($F35&lt;&gt;"",$F35&lt;1),3,2),FALSE),0),IFERROR(VLOOKUP($C35,Trucks,2,FALSE),"")))</f>
        <v/>
      </c>
      <c r="I35" s="11">
        <f>IF($C35="","",CEILING(IF($H35&lt;&gt;"",$H35,IF($G35="",0,$G35))*IF($F35="",1,$F35),RoundInc))</f>
        <v/>
      </c>
      <c r="J35" s="4" t="n"/>
      <c r="K35" s="9">
        <f>IF($C35="","",IF(OR($C35="Truck stock",$C35="Purchase",$C35="Tech expense",$C35="Other"),"Yes","No"))</f>
        <v/>
      </c>
      <c r="L35" s="4" t="n"/>
      <c r="M35" s="9">
        <f>IF($A35="","",COUNTIF($A$2:$A35,$A35))</f>
        <v/>
      </c>
      <c r="N35" s="9">
        <f>IF($A35="","",TEXT($A35,"yyyy-mm-dd")&amp;"#"&amp;$M35)</f>
        <v/>
      </c>
    </row>
    <row r="36">
      <c r="A36" s="8" t="n"/>
      <c r="B36" s="9">
        <f>IF($A36="","",TEXT($A36,"ddd"))</f>
        <v/>
      </c>
      <c r="C36" s="4" t="n"/>
      <c r="D36" s="4" t="n"/>
      <c r="E36" s="4" t="n"/>
      <c r="F36" s="4" t="n"/>
      <c r="G36" s="6" t="n"/>
      <c r="H36" s="11">
        <f>IF($C36="","",IF($C36="Equipment",IFERROR(VLOOKUP($E36,EquipRates,IF(AND($F36&lt;&gt;"",$F36&lt;1),3,2),FALSE),0),IFERROR(VLOOKUP($C36,Trucks,2,FALSE),"")))</f>
        <v/>
      </c>
      <c r="I36" s="11">
        <f>IF($C36="","",CEILING(IF($H36&lt;&gt;"",$H36,IF($G36="",0,$G36))*IF($F36="",1,$F36),RoundInc))</f>
        <v/>
      </c>
      <c r="J36" s="4" t="n"/>
      <c r="K36" s="9">
        <f>IF($C36="","",IF(OR($C36="Truck stock",$C36="Purchase",$C36="Tech expense",$C36="Other"),"Yes","No"))</f>
        <v/>
      </c>
      <c r="L36" s="4" t="n"/>
      <c r="M36" s="9">
        <f>IF($A36="","",COUNTIF($A$2:$A36,$A36))</f>
        <v/>
      </c>
      <c r="N36" s="9">
        <f>IF($A36="","",TEXT($A36,"yyyy-mm-dd")&amp;"#"&amp;$M36)</f>
        <v/>
      </c>
    </row>
    <row r="37">
      <c r="A37" s="8" t="n"/>
      <c r="B37" s="9">
        <f>IF($A37="","",TEXT($A37,"ddd"))</f>
        <v/>
      </c>
      <c r="C37" s="4" t="n"/>
      <c r="D37" s="4" t="n"/>
      <c r="E37" s="4" t="n"/>
      <c r="F37" s="4" t="n"/>
      <c r="G37" s="6" t="n"/>
      <c r="H37" s="11">
        <f>IF($C37="","",IF($C37="Equipment",IFERROR(VLOOKUP($E37,EquipRates,IF(AND($F37&lt;&gt;"",$F37&lt;1),3,2),FALSE),0),IFERROR(VLOOKUP($C37,Trucks,2,FALSE),"")))</f>
        <v/>
      </c>
      <c r="I37" s="11">
        <f>IF($C37="","",CEILING(IF($H37&lt;&gt;"",$H37,IF($G37="",0,$G37))*IF($F37="",1,$F37),RoundInc))</f>
        <v/>
      </c>
      <c r="J37" s="4" t="n"/>
      <c r="K37" s="9">
        <f>IF($C37="","",IF(OR($C37="Truck stock",$C37="Purchase",$C37="Tech expense",$C37="Other"),"Yes","No"))</f>
        <v/>
      </c>
      <c r="L37" s="4" t="n"/>
      <c r="M37" s="9">
        <f>IF($A37="","",COUNTIF($A$2:$A37,$A37))</f>
        <v/>
      </c>
      <c r="N37" s="9">
        <f>IF($A37="","",TEXT($A37,"yyyy-mm-dd")&amp;"#"&amp;$M37)</f>
        <v/>
      </c>
    </row>
    <row r="38">
      <c r="A38" s="8" t="n"/>
      <c r="B38" s="9">
        <f>IF($A38="","",TEXT($A38,"ddd"))</f>
        <v/>
      </c>
      <c r="C38" s="4" t="n"/>
      <c r="D38" s="4" t="n"/>
      <c r="E38" s="4" t="n"/>
      <c r="F38" s="4" t="n"/>
      <c r="G38" s="6" t="n"/>
      <c r="H38" s="11">
        <f>IF($C38="","",IF($C38="Equipment",IFERROR(VLOOKUP($E38,EquipRates,IF(AND($F38&lt;&gt;"",$F38&lt;1),3,2),FALSE),0),IFERROR(VLOOKUP($C38,Trucks,2,FALSE),"")))</f>
        <v/>
      </c>
      <c r="I38" s="11">
        <f>IF($C38="","",CEILING(IF($H38&lt;&gt;"",$H38,IF($G38="",0,$G38))*IF($F38="",1,$F38),RoundInc))</f>
        <v/>
      </c>
      <c r="J38" s="4" t="n"/>
      <c r="K38" s="9">
        <f>IF($C38="","",IF(OR($C38="Truck stock",$C38="Purchase",$C38="Tech expense",$C38="Other"),"Yes","No"))</f>
        <v/>
      </c>
      <c r="L38" s="4" t="n"/>
      <c r="M38" s="9">
        <f>IF($A38="","",COUNTIF($A$2:$A38,$A38))</f>
        <v/>
      </c>
      <c r="N38" s="9">
        <f>IF($A38="","",TEXT($A38,"yyyy-mm-dd")&amp;"#"&amp;$M38)</f>
        <v/>
      </c>
    </row>
    <row r="39">
      <c r="A39" s="8" t="n"/>
      <c r="B39" s="9">
        <f>IF($A39="","",TEXT($A39,"ddd"))</f>
        <v/>
      </c>
      <c r="C39" s="4" t="n"/>
      <c r="D39" s="4" t="n"/>
      <c r="E39" s="4" t="n"/>
      <c r="F39" s="4" t="n"/>
      <c r="G39" s="6" t="n"/>
      <c r="H39" s="11">
        <f>IF($C39="","",IF($C39="Equipment",IFERROR(VLOOKUP($E39,EquipRates,IF(AND($F39&lt;&gt;"",$F39&lt;1),3,2),FALSE),0),IFERROR(VLOOKUP($C39,Trucks,2,FALSE),"")))</f>
        <v/>
      </c>
      <c r="I39" s="11">
        <f>IF($C39="","",CEILING(IF($H39&lt;&gt;"",$H39,IF($G39="",0,$G39))*IF($F39="",1,$F39),RoundInc))</f>
        <v/>
      </c>
      <c r="J39" s="4" t="n"/>
      <c r="K39" s="9">
        <f>IF($C39="","",IF(OR($C39="Truck stock",$C39="Purchase",$C39="Tech expense",$C39="Other"),"Yes","No"))</f>
        <v/>
      </c>
      <c r="L39" s="4" t="n"/>
      <c r="M39" s="9">
        <f>IF($A39="","",COUNTIF($A$2:$A39,$A39))</f>
        <v/>
      </c>
      <c r="N39" s="9">
        <f>IF($A39="","",TEXT($A39,"yyyy-mm-dd")&amp;"#"&amp;$M39)</f>
        <v/>
      </c>
    </row>
    <row r="40">
      <c r="A40" s="8" t="n"/>
      <c r="B40" s="9">
        <f>IF($A40="","",TEXT($A40,"ddd"))</f>
        <v/>
      </c>
      <c r="C40" s="4" t="n"/>
      <c r="D40" s="4" t="n"/>
      <c r="E40" s="4" t="n"/>
      <c r="F40" s="4" t="n"/>
      <c r="G40" s="6" t="n"/>
      <c r="H40" s="11">
        <f>IF($C40="","",IF($C40="Equipment",IFERROR(VLOOKUP($E40,EquipRates,IF(AND($F40&lt;&gt;"",$F40&lt;1),3,2),FALSE),0),IFERROR(VLOOKUP($C40,Trucks,2,FALSE),"")))</f>
        <v/>
      </c>
      <c r="I40" s="11">
        <f>IF($C40="","",CEILING(IF($H40&lt;&gt;"",$H40,IF($G40="",0,$G40))*IF($F40="",1,$F40),RoundInc))</f>
        <v/>
      </c>
      <c r="J40" s="4" t="n"/>
      <c r="K40" s="9">
        <f>IF($C40="","",IF(OR($C40="Truck stock",$C40="Purchase",$C40="Tech expense",$C40="Other"),"Yes","No"))</f>
        <v/>
      </c>
      <c r="L40" s="4" t="n"/>
      <c r="M40" s="9">
        <f>IF($A40="","",COUNTIF($A$2:$A40,$A40))</f>
        <v/>
      </c>
      <c r="N40" s="9">
        <f>IF($A40="","",TEXT($A40,"yyyy-mm-dd")&amp;"#"&amp;$M40)</f>
        <v/>
      </c>
    </row>
    <row r="41">
      <c r="A41" s="8" t="n"/>
      <c r="B41" s="9">
        <f>IF($A41="","",TEXT($A41,"ddd"))</f>
        <v/>
      </c>
      <c r="C41" s="4" t="n"/>
      <c r="D41" s="4" t="n"/>
      <c r="E41" s="4" t="n"/>
      <c r="F41" s="4" t="n"/>
      <c r="G41" s="6" t="n"/>
      <c r="H41" s="11">
        <f>IF($C41="","",IF($C41="Equipment",IFERROR(VLOOKUP($E41,EquipRates,IF(AND($F41&lt;&gt;"",$F41&lt;1),3,2),FALSE),0),IFERROR(VLOOKUP($C41,Trucks,2,FALSE),"")))</f>
        <v/>
      </c>
      <c r="I41" s="11">
        <f>IF($C41="","",CEILING(IF($H41&lt;&gt;"",$H41,IF($G41="",0,$G41))*IF($F41="",1,$F41),RoundInc))</f>
        <v/>
      </c>
      <c r="J41" s="4" t="n"/>
      <c r="K41" s="9">
        <f>IF($C41="","",IF(OR($C41="Truck stock",$C41="Purchase",$C41="Tech expense",$C41="Other"),"Yes","No"))</f>
        <v/>
      </c>
      <c r="L41" s="4" t="n"/>
      <c r="M41" s="9">
        <f>IF($A41="","",COUNTIF($A$2:$A41,$A41))</f>
        <v/>
      </c>
      <c r="N41" s="9">
        <f>IF($A41="","",TEXT($A41,"yyyy-mm-dd")&amp;"#"&amp;$M41)</f>
        <v/>
      </c>
    </row>
    <row r="42">
      <c r="A42" s="8" t="n"/>
      <c r="B42" s="9">
        <f>IF($A42="","",TEXT($A42,"ddd"))</f>
        <v/>
      </c>
      <c r="C42" s="4" t="n"/>
      <c r="D42" s="4" t="n"/>
      <c r="E42" s="4" t="n"/>
      <c r="F42" s="4" t="n"/>
      <c r="G42" s="6" t="n"/>
      <c r="H42" s="11">
        <f>IF($C42="","",IF($C42="Equipment",IFERROR(VLOOKUP($E42,EquipRates,IF(AND($F42&lt;&gt;"",$F42&lt;1),3,2),FALSE),0),IFERROR(VLOOKUP($C42,Trucks,2,FALSE),"")))</f>
        <v/>
      </c>
      <c r="I42" s="11">
        <f>IF($C42="","",CEILING(IF($H42&lt;&gt;"",$H42,IF($G42="",0,$G42))*IF($F42="",1,$F42),RoundInc))</f>
        <v/>
      </c>
      <c r="J42" s="4" t="n"/>
      <c r="K42" s="9">
        <f>IF($C42="","",IF(OR($C42="Truck stock",$C42="Purchase",$C42="Tech expense",$C42="Other"),"Yes","No"))</f>
        <v/>
      </c>
      <c r="L42" s="4" t="n"/>
      <c r="M42" s="9">
        <f>IF($A42="","",COUNTIF($A$2:$A42,$A42))</f>
        <v/>
      </c>
      <c r="N42" s="9">
        <f>IF($A42="","",TEXT($A42,"yyyy-mm-dd")&amp;"#"&amp;$M42)</f>
        <v/>
      </c>
    </row>
    <row r="43">
      <c r="A43" s="8" t="n"/>
      <c r="B43" s="9">
        <f>IF($A43="","",TEXT($A43,"ddd"))</f>
        <v/>
      </c>
      <c r="C43" s="4" t="n"/>
      <c r="D43" s="4" t="n"/>
      <c r="E43" s="4" t="n"/>
      <c r="F43" s="4" t="n"/>
      <c r="G43" s="6" t="n"/>
      <c r="H43" s="11">
        <f>IF($C43="","",IF($C43="Equipment",IFERROR(VLOOKUP($E43,EquipRates,IF(AND($F43&lt;&gt;"",$F43&lt;1),3,2),FALSE),0),IFERROR(VLOOKUP($C43,Trucks,2,FALSE),"")))</f>
        <v/>
      </c>
      <c r="I43" s="11">
        <f>IF($C43="","",CEILING(IF($H43&lt;&gt;"",$H43,IF($G43="",0,$G43))*IF($F43="",1,$F43),RoundInc))</f>
        <v/>
      </c>
      <c r="J43" s="4" t="n"/>
      <c r="K43" s="9">
        <f>IF($C43="","",IF(OR($C43="Truck stock",$C43="Purchase",$C43="Tech expense",$C43="Other"),"Yes","No"))</f>
        <v/>
      </c>
      <c r="L43" s="4" t="n"/>
      <c r="M43" s="9">
        <f>IF($A43="","",COUNTIF($A$2:$A43,$A43))</f>
        <v/>
      </c>
      <c r="N43" s="9">
        <f>IF($A43="","",TEXT($A43,"yyyy-mm-dd")&amp;"#"&amp;$M43)</f>
        <v/>
      </c>
    </row>
    <row r="44">
      <c r="A44" s="8" t="n"/>
      <c r="B44" s="9">
        <f>IF($A44="","",TEXT($A44,"ddd"))</f>
        <v/>
      </c>
      <c r="C44" s="4" t="n"/>
      <c r="D44" s="4" t="n"/>
      <c r="E44" s="4" t="n"/>
      <c r="F44" s="4" t="n"/>
      <c r="G44" s="6" t="n"/>
      <c r="H44" s="11">
        <f>IF($C44="","",IF($C44="Equipment",IFERROR(VLOOKUP($E44,EquipRates,IF(AND($F44&lt;&gt;"",$F44&lt;1),3,2),FALSE),0),IFERROR(VLOOKUP($C44,Trucks,2,FALSE),"")))</f>
        <v/>
      </c>
      <c r="I44" s="11">
        <f>IF($C44="","",CEILING(IF($H44&lt;&gt;"",$H44,IF($G44="",0,$G44))*IF($F44="",1,$F44),RoundInc))</f>
        <v/>
      </c>
      <c r="J44" s="4" t="n"/>
      <c r="K44" s="9">
        <f>IF($C44="","",IF(OR($C44="Truck stock",$C44="Purchase",$C44="Tech expense",$C44="Other"),"Yes","No"))</f>
        <v/>
      </c>
      <c r="L44" s="4" t="n"/>
      <c r="M44" s="9">
        <f>IF($A44="","",COUNTIF($A$2:$A44,$A44))</f>
        <v/>
      </c>
      <c r="N44" s="9">
        <f>IF($A44="","",TEXT($A44,"yyyy-mm-dd")&amp;"#"&amp;$M44)</f>
        <v/>
      </c>
    </row>
    <row r="45">
      <c r="A45" s="8" t="n"/>
      <c r="B45" s="9">
        <f>IF($A45="","",TEXT($A45,"ddd"))</f>
        <v/>
      </c>
      <c r="C45" s="4" t="n"/>
      <c r="D45" s="4" t="n"/>
      <c r="E45" s="4" t="n"/>
      <c r="F45" s="4" t="n"/>
      <c r="G45" s="6" t="n"/>
      <c r="H45" s="11">
        <f>IF($C45="","",IF($C45="Equipment",IFERROR(VLOOKUP($E45,EquipRates,IF(AND($F45&lt;&gt;"",$F45&lt;1),3,2),FALSE),0),IFERROR(VLOOKUP($C45,Trucks,2,FALSE),"")))</f>
        <v/>
      </c>
      <c r="I45" s="11">
        <f>IF($C45="","",CEILING(IF($H45&lt;&gt;"",$H45,IF($G45="",0,$G45))*IF($F45="",1,$F45),RoundInc))</f>
        <v/>
      </c>
      <c r="J45" s="4" t="n"/>
      <c r="K45" s="9">
        <f>IF($C45="","",IF(OR($C45="Truck stock",$C45="Purchase",$C45="Tech expense",$C45="Other"),"Yes","No"))</f>
        <v/>
      </c>
      <c r="L45" s="4" t="n"/>
      <c r="M45" s="9">
        <f>IF($A45="","",COUNTIF($A$2:$A45,$A45))</f>
        <v/>
      </c>
      <c r="N45" s="9">
        <f>IF($A45="","",TEXT($A45,"yyyy-mm-dd")&amp;"#"&amp;$M45)</f>
        <v/>
      </c>
    </row>
    <row r="46">
      <c r="A46" s="8" t="n"/>
      <c r="B46" s="9">
        <f>IF($A46="","",TEXT($A46,"ddd"))</f>
        <v/>
      </c>
      <c r="C46" s="4" t="n"/>
      <c r="D46" s="4" t="n"/>
      <c r="E46" s="4" t="n"/>
      <c r="F46" s="4" t="n"/>
      <c r="G46" s="6" t="n"/>
      <c r="H46" s="11">
        <f>IF($C46="","",IF($C46="Equipment",IFERROR(VLOOKUP($E46,EquipRates,IF(AND($F46&lt;&gt;"",$F46&lt;1),3,2),FALSE),0),IFERROR(VLOOKUP($C46,Trucks,2,FALSE),"")))</f>
        <v/>
      </c>
      <c r="I46" s="11">
        <f>IF($C46="","",CEILING(IF($H46&lt;&gt;"",$H46,IF($G46="",0,$G46))*IF($F46="",1,$F46),RoundInc))</f>
        <v/>
      </c>
      <c r="J46" s="4" t="n"/>
      <c r="K46" s="9">
        <f>IF($C46="","",IF(OR($C46="Truck stock",$C46="Purchase",$C46="Tech expense",$C46="Other"),"Yes","No"))</f>
        <v/>
      </c>
      <c r="L46" s="4" t="n"/>
      <c r="M46" s="9">
        <f>IF($A46="","",COUNTIF($A$2:$A46,$A46))</f>
        <v/>
      </c>
      <c r="N46" s="9">
        <f>IF($A46="","",TEXT($A46,"yyyy-mm-dd")&amp;"#"&amp;$M46)</f>
        <v/>
      </c>
    </row>
    <row r="47">
      <c r="A47" s="8" t="n"/>
      <c r="B47" s="9">
        <f>IF($A47="","",TEXT($A47,"ddd"))</f>
        <v/>
      </c>
      <c r="C47" s="4" t="n"/>
      <c r="D47" s="4" t="n"/>
      <c r="E47" s="4" t="n"/>
      <c r="F47" s="4" t="n"/>
      <c r="G47" s="6" t="n"/>
      <c r="H47" s="11">
        <f>IF($C47="","",IF($C47="Equipment",IFERROR(VLOOKUP($E47,EquipRates,IF(AND($F47&lt;&gt;"",$F47&lt;1),3,2),FALSE),0),IFERROR(VLOOKUP($C47,Trucks,2,FALSE),"")))</f>
        <v/>
      </c>
      <c r="I47" s="11">
        <f>IF($C47="","",CEILING(IF($H47&lt;&gt;"",$H47,IF($G47="",0,$G47))*IF($F47="",1,$F47),RoundInc))</f>
        <v/>
      </c>
      <c r="J47" s="4" t="n"/>
      <c r="K47" s="9">
        <f>IF($C47="","",IF(OR($C47="Truck stock",$C47="Purchase",$C47="Tech expense",$C47="Other"),"Yes","No"))</f>
        <v/>
      </c>
      <c r="L47" s="4" t="n"/>
      <c r="M47" s="9">
        <f>IF($A47="","",COUNTIF($A$2:$A47,$A47))</f>
        <v/>
      </c>
      <c r="N47" s="9">
        <f>IF($A47="","",TEXT($A47,"yyyy-mm-dd")&amp;"#"&amp;$M47)</f>
        <v/>
      </c>
    </row>
    <row r="48">
      <c r="A48" s="8" t="n"/>
      <c r="B48" s="9">
        <f>IF($A48="","",TEXT($A48,"ddd"))</f>
        <v/>
      </c>
      <c r="C48" s="4" t="n"/>
      <c r="D48" s="4" t="n"/>
      <c r="E48" s="4" t="n"/>
      <c r="F48" s="4" t="n"/>
      <c r="G48" s="6" t="n"/>
      <c r="H48" s="11">
        <f>IF($C48="","",IF($C48="Equipment",IFERROR(VLOOKUP($E48,EquipRates,IF(AND($F48&lt;&gt;"",$F48&lt;1),3,2),FALSE),0),IFERROR(VLOOKUP($C48,Trucks,2,FALSE),"")))</f>
        <v/>
      </c>
      <c r="I48" s="11">
        <f>IF($C48="","",CEILING(IF($H48&lt;&gt;"",$H48,IF($G48="",0,$G48))*IF($F48="",1,$F48),RoundInc))</f>
        <v/>
      </c>
      <c r="J48" s="4" t="n"/>
      <c r="K48" s="9">
        <f>IF($C48="","",IF(OR($C48="Truck stock",$C48="Purchase",$C48="Tech expense",$C48="Other"),"Yes","No"))</f>
        <v/>
      </c>
      <c r="L48" s="4" t="n"/>
      <c r="M48" s="9">
        <f>IF($A48="","",COUNTIF($A$2:$A48,$A48))</f>
        <v/>
      </c>
      <c r="N48" s="9">
        <f>IF($A48="","",TEXT($A48,"yyyy-mm-dd")&amp;"#"&amp;$M48)</f>
        <v/>
      </c>
    </row>
    <row r="49">
      <c r="A49" s="8" t="n"/>
      <c r="B49" s="9">
        <f>IF($A49="","",TEXT($A49,"ddd"))</f>
        <v/>
      </c>
      <c r="C49" s="4" t="n"/>
      <c r="D49" s="4" t="n"/>
      <c r="E49" s="4" t="n"/>
      <c r="F49" s="4" t="n"/>
      <c r="G49" s="6" t="n"/>
      <c r="H49" s="11">
        <f>IF($C49="","",IF($C49="Equipment",IFERROR(VLOOKUP($E49,EquipRates,IF(AND($F49&lt;&gt;"",$F49&lt;1),3,2),FALSE),0),IFERROR(VLOOKUP($C49,Trucks,2,FALSE),"")))</f>
        <v/>
      </c>
      <c r="I49" s="11">
        <f>IF($C49="","",CEILING(IF($H49&lt;&gt;"",$H49,IF($G49="",0,$G49))*IF($F49="",1,$F49),RoundInc))</f>
        <v/>
      </c>
      <c r="J49" s="4" t="n"/>
      <c r="K49" s="9">
        <f>IF($C49="","",IF(OR($C49="Truck stock",$C49="Purchase",$C49="Tech expense",$C49="Other"),"Yes","No"))</f>
        <v/>
      </c>
      <c r="L49" s="4" t="n"/>
      <c r="M49" s="9">
        <f>IF($A49="","",COUNTIF($A$2:$A49,$A49))</f>
        <v/>
      </c>
      <c r="N49" s="9">
        <f>IF($A49="","",TEXT($A49,"yyyy-mm-dd")&amp;"#"&amp;$M49)</f>
        <v/>
      </c>
    </row>
    <row r="50">
      <c r="A50" s="8" t="n"/>
      <c r="B50" s="9">
        <f>IF($A50="","",TEXT($A50,"ddd"))</f>
        <v/>
      </c>
      <c r="C50" s="4" t="n"/>
      <c r="D50" s="4" t="n"/>
      <c r="E50" s="4" t="n"/>
      <c r="F50" s="4" t="n"/>
      <c r="G50" s="6" t="n"/>
      <c r="H50" s="11">
        <f>IF($C50="","",IF($C50="Equipment",IFERROR(VLOOKUP($E50,EquipRates,IF(AND($F50&lt;&gt;"",$F50&lt;1),3,2),FALSE),0),IFERROR(VLOOKUP($C50,Trucks,2,FALSE),"")))</f>
        <v/>
      </c>
      <c r="I50" s="11">
        <f>IF($C50="","",CEILING(IF($H50&lt;&gt;"",$H50,IF($G50="",0,$G50))*IF($F50="",1,$F50),RoundInc))</f>
        <v/>
      </c>
      <c r="J50" s="4" t="n"/>
      <c r="K50" s="9">
        <f>IF($C50="","",IF(OR($C50="Truck stock",$C50="Purchase",$C50="Tech expense",$C50="Other"),"Yes","No"))</f>
        <v/>
      </c>
      <c r="L50" s="4" t="n"/>
      <c r="M50" s="9">
        <f>IF($A50="","",COUNTIF($A$2:$A50,$A50))</f>
        <v/>
      </c>
      <c r="N50" s="9">
        <f>IF($A50="","",TEXT($A50,"yyyy-mm-dd")&amp;"#"&amp;$M50)</f>
        <v/>
      </c>
    </row>
    <row r="51">
      <c r="A51" s="8" t="n"/>
      <c r="B51" s="9">
        <f>IF($A51="","",TEXT($A51,"ddd"))</f>
        <v/>
      </c>
      <c r="C51" s="4" t="n"/>
      <c r="D51" s="4" t="n"/>
      <c r="E51" s="4" t="n"/>
      <c r="F51" s="4" t="n"/>
      <c r="G51" s="6" t="n"/>
      <c r="H51" s="11">
        <f>IF($C51="","",IF($C51="Equipment",IFERROR(VLOOKUP($E51,EquipRates,IF(AND($F51&lt;&gt;"",$F51&lt;1),3,2),FALSE),0),IFERROR(VLOOKUP($C51,Trucks,2,FALSE),"")))</f>
        <v/>
      </c>
      <c r="I51" s="11">
        <f>IF($C51="","",CEILING(IF($H51&lt;&gt;"",$H51,IF($G51="",0,$G51))*IF($F51="",1,$F51),RoundInc))</f>
        <v/>
      </c>
      <c r="J51" s="4" t="n"/>
      <c r="K51" s="9">
        <f>IF($C51="","",IF(OR($C51="Truck stock",$C51="Purchase",$C51="Tech expense",$C51="Other"),"Yes","No"))</f>
        <v/>
      </c>
      <c r="L51" s="4" t="n"/>
      <c r="M51" s="9">
        <f>IF($A51="","",COUNTIF($A$2:$A51,$A51))</f>
        <v/>
      </c>
      <c r="N51" s="9">
        <f>IF($A51="","",TEXT($A51,"yyyy-mm-dd")&amp;"#"&amp;$M51)</f>
        <v/>
      </c>
    </row>
    <row r="52">
      <c r="A52" s="8" t="n"/>
      <c r="B52" s="9">
        <f>IF($A52="","",TEXT($A52,"ddd"))</f>
        <v/>
      </c>
      <c r="C52" s="4" t="n"/>
      <c r="D52" s="4" t="n"/>
      <c r="E52" s="4" t="n"/>
      <c r="F52" s="4" t="n"/>
      <c r="G52" s="6" t="n"/>
      <c r="H52" s="11">
        <f>IF($C52="","",IF($C52="Equipment",IFERROR(VLOOKUP($E52,EquipRates,IF(AND($F52&lt;&gt;"",$F52&lt;1),3,2),FALSE),0),IFERROR(VLOOKUP($C52,Trucks,2,FALSE),"")))</f>
        <v/>
      </c>
      <c r="I52" s="11">
        <f>IF($C52="","",CEILING(IF($H52&lt;&gt;"",$H52,IF($G52="",0,$G52))*IF($F52="",1,$F52),RoundInc))</f>
        <v/>
      </c>
      <c r="J52" s="4" t="n"/>
      <c r="K52" s="9">
        <f>IF($C52="","",IF(OR($C52="Truck stock",$C52="Purchase",$C52="Tech expense",$C52="Other"),"Yes","No"))</f>
        <v/>
      </c>
      <c r="L52" s="4" t="n"/>
      <c r="M52" s="9">
        <f>IF($A52="","",COUNTIF($A$2:$A52,$A52))</f>
        <v/>
      </c>
      <c r="N52" s="9">
        <f>IF($A52="","",TEXT($A52,"yyyy-mm-dd")&amp;"#"&amp;$M52)</f>
        <v/>
      </c>
    </row>
    <row r="53">
      <c r="A53" s="8" t="n"/>
      <c r="B53" s="9">
        <f>IF($A53="","",TEXT($A53,"ddd"))</f>
        <v/>
      </c>
      <c r="C53" s="4" t="n"/>
      <c r="D53" s="4" t="n"/>
      <c r="E53" s="4" t="n"/>
      <c r="F53" s="4" t="n"/>
      <c r="G53" s="6" t="n"/>
      <c r="H53" s="11">
        <f>IF($C53="","",IF($C53="Equipment",IFERROR(VLOOKUP($E53,EquipRates,IF(AND($F53&lt;&gt;"",$F53&lt;1),3,2),FALSE),0),IFERROR(VLOOKUP($C53,Trucks,2,FALSE),"")))</f>
        <v/>
      </c>
      <c r="I53" s="11">
        <f>IF($C53="","",CEILING(IF($H53&lt;&gt;"",$H53,IF($G53="",0,$G53))*IF($F53="",1,$F53),RoundInc))</f>
        <v/>
      </c>
      <c r="J53" s="4" t="n"/>
      <c r="K53" s="9">
        <f>IF($C53="","",IF(OR($C53="Truck stock",$C53="Purchase",$C53="Tech expense",$C53="Other"),"Yes","No"))</f>
        <v/>
      </c>
      <c r="L53" s="4" t="n"/>
      <c r="M53" s="9">
        <f>IF($A53="","",COUNTIF($A$2:$A53,$A53))</f>
        <v/>
      </c>
      <c r="N53" s="9">
        <f>IF($A53="","",TEXT($A53,"yyyy-mm-dd")&amp;"#"&amp;$M53)</f>
        <v/>
      </c>
    </row>
    <row r="54">
      <c r="A54" s="8" t="n"/>
      <c r="B54" s="9">
        <f>IF($A54="","",TEXT($A54,"ddd"))</f>
        <v/>
      </c>
      <c r="C54" s="4" t="n"/>
      <c r="D54" s="4" t="n"/>
      <c r="E54" s="4" t="n"/>
      <c r="F54" s="4" t="n"/>
      <c r="G54" s="6" t="n"/>
      <c r="H54" s="11">
        <f>IF($C54="","",IF($C54="Equipment",IFERROR(VLOOKUP($E54,EquipRates,IF(AND($F54&lt;&gt;"",$F54&lt;1),3,2),FALSE),0),IFERROR(VLOOKUP($C54,Trucks,2,FALSE),"")))</f>
        <v/>
      </c>
      <c r="I54" s="11">
        <f>IF($C54="","",CEILING(IF($H54&lt;&gt;"",$H54,IF($G54="",0,$G54))*IF($F54="",1,$F54),RoundInc))</f>
        <v/>
      </c>
      <c r="J54" s="4" t="n"/>
      <c r="K54" s="9">
        <f>IF($C54="","",IF(OR($C54="Truck stock",$C54="Purchase",$C54="Tech expense",$C54="Other"),"Yes","No"))</f>
        <v/>
      </c>
      <c r="L54" s="4" t="n"/>
      <c r="M54" s="9">
        <f>IF($A54="","",COUNTIF($A$2:$A54,$A54))</f>
        <v/>
      </c>
      <c r="N54" s="9">
        <f>IF($A54="","",TEXT($A54,"yyyy-mm-dd")&amp;"#"&amp;$M54)</f>
        <v/>
      </c>
    </row>
    <row r="55">
      <c r="A55" s="8" t="n"/>
      <c r="B55" s="9">
        <f>IF($A55="","",TEXT($A55,"ddd"))</f>
        <v/>
      </c>
      <c r="C55" s="4" t="n"/>
      <c r="D55" s="4" t="n"/>
      <c r="E55" s="4" t="n"/>
      <c r="F55" s="4" t="n"/>
      <c r="G55" s="6" t="n"/>
      <c r="H55" s="11">
        <f>IF($C55="","",IF($C55="Equipment",IFERROR(VLOOKUP($E55,EquipRates,IF(AND($F55&lt;&gt;"",$F55&lt;1),3,2),FALSE),0),IFERROR(VLOOKUP($C55,Trucks,2,FALSE),"")))</f>
        <v/>
      </c>
      <c r="I55" s="11">
        <f>IF($C55="","",CEILING(IF($H55&lt;&gt;"",$H55,IF($G55="",0,$G55))*IF($F55="",1,$F55),RoundInc))</f>
        <v/>
      </c>
      <c r="J55" s="4" t="n"/>
      <c r="K55" s="9">
        <f>IF($C55="","",IF(OR($C55="Truck stock",$C55="Purchase",$C55="Tech expense",$C55="Other"),"Yes","No"))</f>
        <v/>
      </c>
      <c r="L55" s="4" t="n"/>
      <c r="M55" s="9">
        <f>IF($A55="","",COUNTIF($A$2:$A55,$A55))</f>
        <v/>
      </c>
      <c r="N55" s="9">
        <f>IF($A55="","",TEXT($A55,"yyyy-mm-dd")&amp;"#"&amp;$M55)</f>
        <v/>
      </c>
    </row>
    <row r="56">
      <c r="A56" s="8" t="n"/>
      <c r="B56" s="9">
        <f>IF($A56="","",TEXT($A56,"ddd"))</f>
        <v/>
      </c>
      <c r="C56" s="4" t="n"/>
      <c r="D56" s="4" t="n"/>
      <c r="E56" s="4" t="n"/>
      <c r="F56" s="4" t="n"/>
      <c r="G56" s="6" t="n"/>
      <c r="H56" s="11">
        <f>IF($C56="","",IF($C56="Equipment",IFERROR(VLOOKUP($E56,EquipRates,IF(AND($F56&lt;&gt;"",$F56&lt;1),3,2),FALSE),0),IFERROR(VLOOKUP($C56,Trucks,2,FALSE),"")))</f>
        <v/>
      </c>
      <c r="I56" s="11">
        <f>IF($C56="","",CEILING(IF($H56&lt;&gt;"",$H56,IF($G56="",0,$G56))*IF($F56="",1,$F56),RoundInc))</f>
        <v/>
      </c>
      <c r="J56" s="4" t="n"/>
      <c r="K56" s="9">
        <f>IF($C56="","",IF(OR($C56="Truck stock",$C56="Purchase",$C56="Tech expense",$C56="Other"),"Yes","No"))</f>
        <v/>
      </c>
      <c r="L56" s="4" t="n"/>
      <c r="M56" s="9">
        <f>IF($A56="","",COUNTIF($A$2:$A56,$A56))</f>
        <v/>
      </c>
      <c r="N56" s="9">
        <f>IF($A56="","",TEXT($A56,"yyyy-mm-dd")&amp;"#"&amp;$M56)</f>
        <v/>
      </c>
    </row>
    <row r="57">
      <c r="A57" s="8" t="n"/>
      <c r="B57" s="9">
        <f>IF($A57="","",TEXT($A57,"ddd"))</f>
        <v/>
      </c>
      <c r="C57" s="4" t="n"/>
      <c r="D57" s="4" t="n"/>
      <c r="E57" s="4" t="n"/>
      <c r="F57" s="4" t="n"/>
      <c r="G57" s="6" t="n"/>
      <c r="H57" s="11">
        <f>IF($C57="","",IF($C57="Equipment",IFERROR(VLOOKUP($E57,EquipRates,IF(AND($F57&lt;&gt;"",$F57&lt;1),3,2),FALSE),0),IFERROR(VLOOKUP($C57,Trucks,2,FALSE),"")))</f>
        <v/>
      </c>
      <c r="I57" s="11">
        <f>IF($C57="","",CEILING(IF($H57&lt;&gt;"",$H57,IF($G57="",0,$G57))*IF($F57="",1,$F57),RoundInc))</f>
        <v/>
      </c>
      <c r="J57" s="4" t="n"/>
      <c r="K57" s="9">
        <f>IF($C57="","",IF(OR($C57="Truck stock",$C57="Purchase",$C57="Tech expense",$C57="Other"),"Yes","No"))</f>
        <v/>
      </c>
      <c r="L57" s="4" t="n"/>
      <c r="M57" s="9">
        <f>IF($A57="","",COUNTIF($A$2:$A57,$A57))</f>
        <v/>
      </c>
      <c r="N57" s="9">
        <f>IF($A57="","",TEXT($A57,"yyyy-mm-dd")&amp;"#"&amp;$M57)</f>
        <v/>
      </c>
    </row>
    <row r="58">
      <c r="A58" s="8" t="n"/>
      <c r="B58" s="9">
        <f>IF($A58="","",TEXT($A58,"ddd"))</f>
        <v/>
      </c>
      <c r="C58" s="4" t="n"/>
      <c r="D58" s="4" t="n"/>
      <c r="E58" s="4" t="n"/>
      <c r="F58" s="4" t="n"/>
      <c r="G58" s="6" t="n"/>
      <c r="H58" s="11">
        <f>IF($C58="","",IF($C58="Equipment",IFERROR(VLOOKUP($E58,EquipRates,IF(AND($F58&lt;&gt;"",$F58&lt;1),3,2),FALSE),0),IFERROR(VLOOKUP($C58,Trucks,2,FALSE),"")))</f>
        <v/>
      </c>
      <c r="I58" s="11">
        <f>IF($C58="","",CEILING(IF($H58&lt;&gt;"",$H58,IF($G58="",0,$G58))*IF($F58="",1,$F58),RoundInc))</f>
        <v/>
      </c>
      <c r="J58" s="4" t="n"/>
      <c r="K58" s="9">
        <f>IF($C58="","",IF(OR($C58="Truck stock",$C58="Purchase",$C58="Tech expense",$C58="Other"),"Yes","No"))</f>
        <v/>
      </c>
      <c r="L58" s="4" t="n"/>
      <c r="M58" s="9">
        <f>IF($A58="","",COUNTIF($A$2:$A58,$A58))</f>
        <v/>
      </c>
      <c r="N58" s="9">
        <f>IF($A58="","",TEXT($A58,"yyyy-mm-dd")&amp;"#"&amp;$M58)</f>
        <v/>
      </c>
    </row>
    <row r="59">
      <c r="A59" s="8" t="n"/>
      <c r="B59" s="9">
        <f>IF($A59="","",TEXT($A59,"ddd"))</f>
        <v/>
      </c>
      <c r="C59" s="4" t="n"/>
      <c r="D59" s="4" t="n"/>
      <c r="E59" s="4" t="n"/>
      <c r="F59" s="4" t="n"/>
      <c r="G59" s="6" t="n"/>
      <c r="H59" s="11">
        <f>IF($C59="","",IF($C59="Equipment",IFERROR(VLOOKUP($E59,EquipRates,IF(AND($F59&lt;&gt;"",$F59&lt;1),3,2),FALSE),0),IFERROR(VLOOKUP($C59,Trucks,2,FALSE),"")))</f>
        <v/>
      </c>
      <c r="I59" s="11">
        <f>IF($C59="","",CEILING(IF($H59&lt;&gt;"",$H59,IF($G59="",0,$G59))*IF($F59="",1,$F59),RoundInc))</f>
        <v/>
      </c>
      <c r="J59" s="4" t="n"/>
      <c r="K59" s="9">
        <f>IF($C59="","",IF(OR($C59="Truck stock",$C59="Purchase",$C59="Tech expense",$C59="Other"),"Yes","No"))</f>
        <v/>
      </c>
      <c r="L59" s="4" t="n"/>
      <c r="M59" s="9">
        <f>IF($A59="","",COUNTIF($A$2:$A59,$A59))</f>
        <v/>
      </c>
      <c r="N59" s="9">
        <f>IF($A59="","",TEXT($A59,"yyyy-mm-dd")&amp;"#"&amp;$M59)</f>
        <v/>
      </c>
    </row>
    <row r="60">
      <c r="A60" s="8" t="n"/>
      <c r="B60" s="9">
        <f>IF($A60="","",TEXT($A60,"ddd"))</f>
        <v/>
      </c>
      <c r="C60" s="4" t="n"/>
      <c r="D60" s="4" t="n"/>
      <c r="E60" s="4" t="n"/>
      <c r="F60" s="4" t="n"/>
      <c r="G60" s="6" t="n"/>
      <c r="H60" s="11">
        <f>IF($C60="","",IF($C60="Equipment",IFERROR(VLOOKUP($E60,EquipRates,IF(AND($F60&lt;&gt;"",$F60&lt;1),3,2),FALSE),0),IFERROR(VLOOKUP($C60,Trucks,2,FALSE),"")))</f>
        <v/>
      </c>
      <c r="I60" s="11">
        <f>IF($C60="","",CEILING(IF($H60&lt;&gt;"",$H60,IF($G60="",0,$G60))*IF($F60="",1,$F60),RoundInc))</f>
        <v/>
      </c>
      <c r="J60" s="4" t="n"/>
      <c r="K60" s="9">
        <f>IF($C60="","",IF(OR($C60="Truck stock",$C60="Purchase",$C60="Tech expense",$C60="Other"),"Yes","No"))</f>
        <v/>
      </c>
      <c r="L60" s="4" t="n"/>
      <c r="M60" s="9">
        <f>IF($A60="","",COUNTIF($A$2:$A60,$A60))</f>
        <v/>
      </c>
      <c r="N60" s="9">
        <f>IF($A60="","",TEXT($A60,"yyyy-mm-dd")&amp;"#"&amp;$M60)</f>
        <v/>
      </c>
    </row>
    <row r="61">
      <c r="A61" s="8" t="n"/>
      <c r="B61" s="9">
        <f>IF($A61="","",TEXT($A61,"ddd"))</f>
        <v/>
      </c>
      <c r="C61" s="4" t="n"/>
      <c r="D61" s="4" t="n"/>
      <c r="E61" s="4" t="n"/>
      <c r="F61" s="4" t="n"/>
      <c r="G61" s="6" t="n"/>
      <c r="H61" s="11">
        <f>IF($C61="","",IF($C61="Equipment",IFERROR(VLOOKUP($E61,EquipRates,IF(AND($F61&lt;&gt;"",$F61&lt;1),3,2),FALSE),0),IFERROR(VLOOKUP($C61,Trucks,2,FALSE),"")))</f>
        <v/>
      </c>
      <c r="I61" s="11">
        <f>IF($C61="","",CEILING(IF($H61&lt;&gt;"",$H61,IF($G61="",0,$G61))*IF($F61="",1,$F61),RoundInc))</f>
        <v/>
      </c>
      <c r="J61" s="4" t="n"/>
      <c r="K61" s="9">
        <f>IF($C61="","",IF(OR($C61="Truck stock",$C61="Purchase",$C61="Tech expense",$C61="Other"),"Yes","No"))</f>
        <v/>
      </c>
      <c r="L61" s="4" t="n"/>
      <c r="M61" s="9">
        <f>IF($A61="","",COUNTIF($A$2:$A61,$A61))</f>
        <v/>
      </c>
      <c r="N61" s="9">
        <f>IF($A61="","",TEXT($A61,"yyyy-mm-dd")&amp;"#"&amp;$M61)</f>
        <v/>
      </c>
    </row>
    <row r="62">
      <c r="A62" s="8" t="n"/>
      <c r="B62" s="9">
        <f>IF($A62="","",TEXT($A62,"ddd"))</f>
        <v/>
      </c>
      <c r="C62" s="4" t="n"/>
      <c r="D62" s="4" t="n"/>
      <c r="E62" s="4" t="n"/>
      <c r="F62" s="4" t="n"/>
      <c r="G62" s="6" t="n"/>
      <c r="H62" s="11">
        <f>IF($C62="","",IF($C62="Equipment",IFERROR(VLOOKUP($E62,EquipRates,IF(AND($F62&lt;&gt;"",$F62&lt;1),3,2),FALSE),0),IFERROR(VLOOKUP($C62,Trucks,2,FALSE),"")))</f>
        <v/>
      </c>
      <c r="I62" s="11">
        <f>IF($C62="","",CEILING(IF($H62&lt;&gt;"",$H62,IF($G62="",0,$G62))*IF($F62="",1,$F62),RoundInc))</f>
        <v/>
      </c>
      <c r="J62" s="4" t="n"/>
      <c r="K62" s="9">
        <f>IF($C62="","",IF(OR($C62="Truck stock",$C62="Purchase",$C62="Tech expense",$C62="Other"),"Yes","No"))</f>
        <v/>
      </c>
      <c r="L62" s="4" t="n"/>
      <c r="M62" s="9">
        <f>IF($A62="","",COUNTIF($A$2:$A62,$A62))</f>
        <v/>
      </c>
      <c r="N62" s="9">
        <f>IF($A62="","",TEXT($A62,"yyyy-mm-dd")&amp;"#"&amp;$M62)</f>
        <v/>
      </c>
    </row>
    <row r="63">
      <c r="A63" s="8" t="n"/>
      <c r="B63" s="9">
        <f>IF($A63="","",TEXT($A63,"ddd"))</f>
        <v/>
      </c>
      <c r="C63" s="4" t="n"/>
      <c r="D63" s="4" t="n"/>
      <c r="E63" s="4" t="n"/>
      <c r="F63" s="4" t="n"/>
      <c r="G63" s="6" t="n"/>
      <c r="H63" s="11">
        <f>IF($C63="","",IF($C63="Equipment",IFERROR(VLOOKUP($E63,EquipRates,IF(AND($F63&lt;&gt;"",$F63&lt;1),3,2),FALSE),0),IFERROR(VLOOKUP($C63,Trucks,2,FALSE),"")))</f>
        <v/>
      </c>
      <c r="I63" s="11">
        <f>IF($C63="","",CEILING(IF($H63&lt;&gt;"",$H63,IF($G63="",0,$G63))*IF($F63="",1,$F63),RoundInc))</f>
        <v/>
      </c>
      <c r="J63" s="4" t="n"/>
      <c r="K63" s="9">
        <f>IF($C63="","",IF(OR($C63="Truck stock",$C63="Purchase",$C63="Tech expense",$C63="Other"),"Yes","No"))</f>
        <v/>
      </c>
      <c r="L63" s="4" t="n"/>
      <c r="M63" s="9">
        <f>IF($A63="","",COUNTIF($A$2:$A63,$A63))</f>
        <v/>
      </c>
      <c r="N63" s="9">
        <f>IF($A63="","",TEXT($A63,"yyyy-mm-dd")&amp;"#"&amp;$M63)</f>
        <v/>
      </c>
    </row>
    <row r="64">
      <c r="A64" s="8" t="n"/>
      <c r="B64" s="9">
        <f>IF($A64="","",TEXT($A64,"ddd"))</f>
        <v/>
      </c>
      <c r="C64" s="4" t="n"/>
      <c r="D64" s="4" t="n"/>
      <c r="E64" s="4" t="n"/>
      <c r="F64" s="4" t="n"/>
      <c r="G64" s="6" t="n"/>
      <c r="H64" s="11">
        <f>IF($C64="","",IF($C64="Equipment",IFERROR(VLOOKUP($E64,EquipRates,IF(AND($F64&lt;&gt;"",$F64&lt;1),3,2),FALSE),0),IFERROR(VLOOKUP($C64,Trucks,2,FALSE),"")))</f>
        <v/>
      </c>
      <c r="I64" s="11">
        <f>IF($C64="","",CEILING(IF($H64&lt;&gt;"",$H64,IF($G64="",0,$G64))*IF($F64="",1,$F64),RoundInc))</f>
        <v/>
      </c>
      <c r="J64" s="4" t="n"/>
      <c r="K64" s="9">
        <f>IF($C64="","",IF(OR($C64="Truck stock",$C64="Purchase",$C64="Tech expense",$C64="Other"),"Yes","No"))</f>
        <v/>
      </c>
      <c r="L64" s="4" t="n"/>
      <c r="M64" s="9">
        <f>IF($A64="","",COUNTIF($A$2:$A64,$A64))</f>
        <v/>
      </c>
      <c r="N64" s="9">
        <f>IF($A64="","",TEXT($A64,"yyyy-mm-dd")&amp;"#"&amp;$M64)</f>
        <v/>
      </c>
    </row>
    <row r="65">
      <c r="A65" s="8" t="n"/>
      <c r="B65" s="9">
        <f>IF($A65="","",TEXT($A65,"ddd"))</f>
        <v/>
      </c>
      <c r="C65" s="4" t="n"/>
      <c r="D65" s="4" t="n"/>
      <c r="E65" s="4" t="n"/>
      <c r="F65" s="4" t="n"/>
      <c r="G65" s="6" t="n"/>
      <c r="H65" s="11">
        <f>IF($C65="","",IF($C65="Equipment",IFERROR(VLOOKUP($E65,EquipRates,IF(AND($F65&lt;&gt;"",$F65&lt;1),3,2),FALSE),0),IFERROR(VLOOKUP($C65,Trucks,2,FALSE),"")))</f>
        <v/>
      </c>
      <c r="I65" s="11">
        <f>IF($C65="","",CEILING(IF($H65&lt;&gt;"",$H65,IF($G65="",0,$G65))*IF($F65="",1,$F65),RoundInc))</f>
        <v/>
      </c>
      <c r="J65" s="4" t="n"/>
      <c r="K65" s="9">
        <f>IF($C65="","",IF(OR($C65="Truck stock",$C65="Purchase",$C65="Tech expense",$C65="Other"),"Yes","No"))</f>
        <v/>
      </c>
      <c r="L65" s="4" t="n"/>
      <c r="M65" s="9">
        <f>IF($A65="","",COUNTIF($A$2:$A65,$A65))</f>
        <v/>
      </c>
      <c r="N65" s="9">
        <f>IF($A65="","",TEXT($A65,"yyyy-mm-dd")&amp;"#"&amp;$M65)</f>
        <v/>
      </c>
    </row>
    <row r="66">
      <c r="A66" s="8" t="n"/>
      <c r="B66" s="9">
        <f>IF($A66="","",TEXT($A66,"ddd"))</f>
        <v/>
      </c>
      <c r="C66" s="4" t="n"/>
      <c r="D66" s="4" t="n"/>
      <c r="E66" s="4" t="n"/>
      <c r="F66" s="4" t="n"/>
      <c r="G66" s="6" t="n"/>
      <c r="H66" s="11">
        <f>IF($C66="","",IF($C66="Equipment",IFERROR(VLOOKUP($E66,EquipRates,IF(AND($F66&lt;&gt;"",$F66&lt;1),3,2),FALSE),0),IFERROR(VLOOKUP($C66,Trucks,2,FALSE),"")))</f>
        <v/>
      </c>
      <c r="I66" s="11">
        <f>IF($C66="","",CEILING(IF($H66&lt;&gt;"",$H66,IF($G66="",0,$G66))*IF($F66="",1,$F66),RoundInc))</f>
        <v/>
      </c>
      <c r="J66" s="4" t="n"/>
      <c r="K66" s="9">
        <f>IF($C66="","",IF(OR($C66="Truck stock",$C66="Purchase",$C66="Tech expense",$C66="Other"),"Yes","No"))</f>
        <v/>
      </c>
      <c r="L66" s="4" t="n"/>
      <c r="M66" s="9">
        <f>IF($A66="","",COUNTIF($A$2:$A66,$A66))</f>
        <v/>
      </c>
      <c r="N66" s="9">
        <f>IF($A66="","",TEXT($A66,"yyyy-mm-dd")&amp;"#"&amp;$M66)</f>
        <v/>
      </c>
    </row>
    <row r="67">
      <c r="A67" s="8" t="n"/>
      <c r="B67" s="9">
        <f>IF($A67="","",TEXT($A67,"ddd"))</f>
        <v/>
      </c>
      <c r="C67" s="4" t="n"/>
      <c r="D67" s="4" t="n"/>
      <c r="E67" s="4" t="n"/>
      <c r="F67" s="4" t="n"/>
      <c r="G67" s="6" t="n"/>
      <c r="H67" s="11">
        <f>IF($C67="","",IF($C67="Equipment",IFERROR(VLOOKUP($E67,EquipRates,IF(AND($F67&lt;&gt;"",$F67&lt;1),3,2),FALSE),0),IFERROR(VLOOKUP($C67,Trucks,2,FALSE),"")))</f>
        <v/>
      </c>
      <c r="I67" s="11">
        <f>IF($C67="","",CEILING(IF($H67&lt;&gt;"",$H67,IF($G67="",0,$G67))*IF($F67="",1,$F67),RoundInc))</f>
        <v/>
      </c>
      <c r="J67" s="4" t="n"/>
      <c r="K67" s="9">
        <f>IF($C67="","",IF(OR($C67="Truck stock",$C67="Purchase",$C67="Tech expense",$C67="Other"),"Yes","No"))</f>
        <v/>
      </c>
      <c r="L67" s="4" t="n"/>
      <c r="M67" s="9">
        <f>IF($A67="","",COUNTIF($A$2:$A67,$A67))</f>
        <v/>
      </c>
      <c r="N67" s="9">
        <f>IF($A67="","",TEXT($A67,"yyyy-mm-dd")&amp;"#"&amp;$M67)</f>
        <v/>
      </c>
    </row>
    <row r="68">
      <c r="A68" s="8" t="n"/>
      <c r="B68" s="9">
        <f>IF($A68="","",TEXT($A68,"ddd"))</f>
        <v/>
      </c>
      <c r="C68" s="4" t="n"/>
      <c r="D68" s="4" t="n"/>
      <c r="E68" s="4" t="n"/>
      <c r="F68" s="4" t="n"/>
      <c r="G68" s="6" t="n"/>
      <c r="H68" s="11">
        <f>IF($C68="","",IF($C68="Equipment",IFERROR(VLOOKUP($E68,EquipRates,IF(AND($F68&lt;&gt;"",$F68&lt;1),3,2),FALSE),0),IFERROR(VLOOKUP($C68,Trucks,2,FALSE),"")))</f>
        <v/>
      </c>
      <c r="I68" s="11">
        <f>IF($C68="","",CEILING(IF($H68&lt;&gt;"",$H68,IF($G68="",0,$G68))*IF($F68="",1,$F68),RoundInc))</f>
        <v/>
      </c>
      <c r="J68" s="4" t="n"/>
      <c r="K68" s="9">
        <f>IF($C68="","",IF(OR($C68="Truck stock",$C68="Purchase",$C68="Tech expense",$C68="Other"),"Yes","No"))</f>
        <v/>
      </c>
      <c r="L68" s="4" t="n"/>
      <c r="M68" s="9">
        <f>IF($A68="","",COUNTIF($A$2:$A68,$A68))</f>
        <v/>
      </c>
      <c r="N68" s="9">
        <f>IF($A68="","",TEXT($A68,"yyyy-mm-dd")&amp;"#"&amp;$M68)</f>
        <v/>
      </c>
    </row>
    <row r="69">
      <c r="A69" s="8" t="n"/>
      <c r="B69" s="9">
        <f>IF($A69="","",TEXT($A69,"ddd"))</f>
        <v/>
      </c>
      <c r="C69" s="4" t="n"/>
      <c r="D69" s="4" t="n"/>
      <c r="E69" s="4" t="n"/>
      <c r="F69" s="4" t="n"/>
      <c r="G69" s="6" t="n"/>
      <c r="H69" s="11">
        <f>IF($C69="","",IF($C69="Equipment",IFERROR(VLOOKUP($E69,EquipRates,IF(AND($F69&lt;&gt;"",$F69&lt;1),3,2),FALSE),0),IFERROR(VLOOKUP($C69,Trucks,2,FALSE),"")))</f>
        <v/>
      </c>
      <c r="I69" s="11">
        <f>IF($C69="","",CEILING(IF($H69&lt;&gt;"",$H69,IF($G69="",0,$G69))*IF($F69="",1,$F69),RoundInc))</f>
        <v/>
      </c>
      <c r="J69" s="4" t="n"/>
      <c r="K69" s="9">
        <f>IF($C69="","",IF(OR($C69="Truck stock",$C69="Purchase",$C69="Tech expense",$C69="Other"),"Yes","No"))</f>
        <v/>
      </c>
      <c r="L69" s="4" t="n"/>
      <c r="M69" s="9">
        <f>IF($A69="","",COUNTIF($A$2:$A69,$A69))</f>
        <v/>
      </c>
      <c r="N69" s="9">
        <f>IF($A69="","",TEXT($A69,"yyyy-mm-dd")&amp;"#"&amp;$M69)</f>
        <v/>
      </c>
    </row>
    <row r="70">
      <c r="A70" s="8" t="n"/>
      <c r="B70" s="9">
        <f>IF($A70="","",TEXT($A70,"ddd"))</f>
        <v/>
      </c>
      <c r="C70" s="4" t="n"/>
      <c r="D70" s="4" t="n"/>
      <c r="E70" s="4" t="n"/>
      <c r="F70" s="4" t="n"/>
      <c r="G70" s="6" t="n"/>
      <c r="H70" s="11">
        <f>IF($C70="","",IF($C70="Equipment",IFERROR(VLOOKUP($E70,EquipRates,IF(AND($F70&lt;&gt;"",$F70&lt;1),3,2),FALSE),0),IFERROR(VLOOKUP($C70,Trucks,2,FALSE),"")))</f>
        <v/>
      </c>
      <c r="I70" s="11">
        <f>IF($C70="","",CEILING(IF($H70&lt;&gt;"",$H70,IF($G70="",0,$G70))*IF($F70="",1,$F70),RoundInc))</f>
        <v/>
      </c>
      <c r="J70" s="4" t="n"/>
      <c r="K70" s="9">
        <f>IF($C70="","",IF(OR($C70="Truck stock",$C70="Purchase",$C70="Tech expense",$C70="Other"),"Yes","No"))</f>
        <v/>
      </c>
      <c r="L70" s="4" t="n"/>
      <c r="M70" s="9">
        <f>IF($A70="","",COUNTIF($A$2:$A70,$A70))</f>
        <v/>
      </c>
      <c r="N70" s="9">
        <f>IF($A70="","",TEXT($A70,"yyyy-mm-dd")&amp;"#"&amp;$M70)</f>
        <v/>
      </c>
    </row>
    <row r="71">
      <c r="A71" s="8" t="n"/>
      <c r="B71" s="9">
        <f>IF($A71="","",TEXT($A71,"ddd"))</f>
        <v/>
      </c>
      <c r="C71" s="4" t="n"/>
      <c r="D71" s="4" t="n"/>
      <c r="E71" s="4" t="n"/>
      <c r="F71" s="4" t="n"/>
      <c r="G71" s="6" t="n"/>
      <c r="H71" s="11">
        <f>IF($C71="","",IF($C71="Equipment",IFERROR(VLOOKUP($E71,EquipRates,IF(AND($F71&lt;&gt;"",$F71&lt;1),3,2),FALSE),0),IFERROR(VLOOKUP($C71,Trucks,2,FALSE),"")))</f>
        <v/>
      </c>
      <c r="I71" s="11">
        <f>IF($C71="","",CEILING(IF($H71&lt;&gt;"",$H71,IF($G71="",0,$G71))*IF($F71="",1,$F71),RoundInc))</f>
        <v/>
      </c>
      <c r="J71" s="4" t="n"/>
      <c r="K71" s="9">
        <f>IF($C71="","",IF(OR($C71="Truck stock",$C71="Purchase",$C71="Tech expense",$C71="Other"),"Yes","No"))</f>
        <v/>
      </c>
      <c r="L71" s="4" t="n"/>
      <c r="M71" s="9">
        <f>IF($A71="","",COUNTIF($A$2:$A71,$A71))</f>
        <v/>
      </c>
      <c r="N71" s="9">
        <f>IF($A71="","",TEXT($A71,"yyyy-mm-dd")&amp;"#"&amp;$M71)</f>
        <v/>
      </c>
    </row>
    <row r="72">
      <c r="A72" s="8" t="n"/>
      <c r="B72" s="9">
        <f>IF($A72="","",TEXT($A72,"ddd"))</f>
        <v/>
      </c>
      <c r="C72" s="4" t="n"/>
      <c r="D72" s="4" t="n"/>
      <c r="E72" s="4" t="n"/>
      <c r="F72" s="4" t="n"/>
      <c r="G72" s="6" t="n"/>
      <c r="H72" s="11">
        <f>IF($C72="","",IF($C72="Equipment",IFERROR(VLOOKUP($E72,EquipRates,IF(AND($F72&lt;&gt;"",$F72&lt;1),3,2),FALSE),0),IFERROR(VLOOKUP($C72,Trucks,2,FALSE),"")))</f>
        <v/>
      </c>
      <c r="I72" s="11">
        <f>IF($C72="","",CEILING(IF($H72&lt;&gt;"",$H72,IF($G72="",0,$G72))*IF($F72="",1,$F72),RoundInc))</f>
        <v/>
      </c>
      <c r="J72" s="4" t="n"/>
      <c r="K72" s="9">
        <f>IF($C72="","",IF(OR($C72="Truck stock",$C72="Purchase",$C72="Tech expense",$C72="Other"),"Yes","No"))</f>
        <v/>
      </c>
      <c r="L72" s="4" t="n"/>
      <c r="M72" s="9">
        <f>IF($A72="","",COUNTIF($A$2:$A72,$A72))</f>
        <v/>
      </c>
      <c r="N72" s="9">
        <f>IF($A72="","",TEXT($A72,"yyyy-mm-dd")&amp;"#"&amp;$M72)</f>
        <v/>
      </c>
    </row>
    <row r="73">
      <c r="A73" s="8" t="n"/>
      <c r="B73" s="9">
        <f>IF($A73="","",TEXT($A73,"ddd"))</f>
        <v/>
      </c>
      <c r="C73" s="4" t="n"/>
      <c r="D73" s="4" t="n"/>
      <c r="E73" s="4" t="n"/>
      <c r="F73" s="4" t="n"/>
      <c r="G73" s="6" t="n"/>
      <c r="H73" s="11">
        <f>IF($C73="","",IF($C73="Equipment",IFERROR(VLOOKUP($E73,EquipRates,IF(AND($F73&lt;&gt;"",$F73&lt;1),3,2),FALSE),0),IFERROR(VLOOKUP($C73,Trucks,2,FALSE),"")))</f>
        <v/>
      </c>
      <c r="I73" s="11">
        <f>IF($C73="","",CEILING(IF($H73&lt;&gt;"",$H73,IF($G73="",0,$G73))*IF($F73="",1,$F73),RoundInc))</f>
        <v/>
      </c>
      <c r="J73" s="4" t="n"/>
      <c r="K73" s="9">
        <f>IF($C73="","",IF(OR($C73="Truck stock",$C73="Purchase",$C73="Tech expense",$C73="Other"),"Yes","No"))</f>
        <v/>
      </c>
      <c r="L73" s="4" t="n"/>
      <c r="M73" s="9">
        <f>IF($A73="","",COUNTIF($A$2:$A73,$A73))</f>
        <v/>
      </c>
      <c r="N73" s="9">
        <f>IF($A73="","",TEXT($A73,"yyyy-mm-dd")&amp;"#"&amp;$M73)</f>
        <v/>
      </c>
    </row>
    <row r="74">
      <c r="A74" s="8" t="n"/>
      <c r="B74" s="9">
        <f>IF($A74="","",TEXT($A74,"ddd"))</f>
        <v/>
      </c>
      <c r="C74" s="4" t="n"/>
      <c r="D74" s="4" t="n"/>
      <c r="E74" s="4" t="n"/>
      <c r="F74" s="4" t="n"/>
      <c r="G74" s="6" t="n"/>
      <c r="H74" s="11">
        <f>IF($C74="","",IF($C74="Equipment",IFERROR(VLOOKUP($E74,EquipRates,IF(AND($F74&lt;&gt;"",$F74&lt;1),3,2),FALSE),0),IFERROR(VLOOKUP($C74,Trucks,2,FALSE),"")))</f>
        <v/>
      </c>
      <c r="I74" s="11">
        <f>IF($C74="","",CEILING(IF($H74&lt;&gt;"",$H74,IF($G74="",0,$G74))*IF($F74="",1,$F74),RoundInc))</f>
        <v/>
      </c>
      <c r="J74" s="4" t="n"/>
      <c r="K74" s="9">
        <f>IF($C74="","",IF(OR($C74="Truck stock",$C74="Purchase",$C74="Tech expense",$C74="Other"),"Yes","No"))</f>
        <v/>
      </c>
      <c r="L74" s="4" t="n"/>
      <c r="M74" s="9">
        <f>IF($A74="","",COUNTIF($A$2:$A74,$A74))</f>
        <v/>
      </c>
      <c r="N74" s="9">
        <f>IF($A74="","",TEXT($A74,"yyyy-mm-dd")&amp;"#"&amp;$M74)</f>
        <v/>
      </c>
    </row>
    <row r="75">
      <c r="A75" s="8" t="n"/>
      <c r="B75" s="9">
        <f>IF($A75="","",TEXT($A75,"ddd"))</f>
        <v/>
      </c>
      <c r="C75" s="4" t="n"/>
      <c r="D75" s="4" t="n"/>
      <c r="E75" s="4" t="n"/>
      <c r="F75" s="4" t="n"/>
      <c r="G75" s="6" t="n"/>
      <c r="H75" s="11">
        <f>IF($C75="","",IF($C75="Equipment",IFERROR(VLOOKUP($E75,EquipRates,IF(AND($F75&lt;&gt;"",$F75&lt;1),3,2),FALSE),0),IFERROR(VLOOKUP($C75,Trucks,2,FALSE),"")))</f>
        <v/>
      </c>
      <c r="I75" s="11">
        <f>IF($C75="","",CEILING(IF($H75&lt;&gt;"",$H75,IF($G75="",0,$G75))*IF($F75="",1,$F75),RoundInc))</f>
        <v/>
      </c>
      <c r="J75" s="4" t="n"/>
      <c r="K75" s="9">
        <f>IF($C75="","",IF(OR($C75="Truck stock",$C75="Purchase",$C75="Tech expense",$C75="Other"),"Yes","No"))</f>
        <v/>
      </c>
      <c r="L75" s="4" t="n"/>
      <c r="M75" s="9">
        <f>IF($A75="","",COUNTIF($A$2:$A75,$A75))</f>
        <v/>
      </c>
      <c r="N75" s="9">
        <f>IF($A75="","",TEXT($A75,"yyyy-mm-dd")&amp;"#"&amp;$M75)</f>
        <v/>
      </c>
    </row>
    <row r="76">
      <c r="A76" s="8" t="n"/>
      <c r="B76" s="9">
        <f>IF($A76="","",TEXT($A76,"ddd"))</f>
        <v/>
      </c>
      <c r="C76" s="4" t="n"/>
      <c r="D76" s="4" t="n"/>
      <c r="E76" s="4" t="n"/>
      <c r="F76" s="4" t="n"/>
      <c r="G76" s="6" t="n"/>
      <c r="H76" s="11">
        <f>IF($C76="","",IF($C76="Equipment",IFERROR(VLOOKUP($E76,EquipRates,IF(AND($F76&lt;&gt;"",$F76&lt;1),3,2),FALSE),0),IFERROR(VLOOKUP($C76,Trucks,2,FALSE),"")))</f>
        <v/>
      </c>
      <c r="I76" s="11">
        <f>IF($C76="","",CEILING(IF($H76&lt;&gt;"",$H76,IF($G76="",0,$G76))*IF($F76="",1,$F76),RoundInc))</f>
        <v/>
      </c>
      <c r="J76" s="4" t="n"/>
      <c r="K76" s="9">
        <f>IF($C76="","",IF(OR($C76="Truck stock",$C76="Purchase",$C76="Tech expense",$C76="Other"),"Yes","No"))</f>
        <v/>
      </c>
      <c r="L76" s="4" t="n"/>
      <c r="M76" s="9">
        <f>IF($A76="","",COUNTIF($A$2:$A76,$A76))</f>
        <v/>
      </c>
      <c r="N76" s="9">
        <f>IF($A76="","",TEXT($A76,"yyyy-mm-dd")&amp;"#"&amp;$M76)</f>
        <v/>
      </c>
    </row>
    <row r="77">
      <c r="A77" s="8" t="n"/>
      <c r="B77" s="9">
        <f>IF($A77="","",TEXT($A77,"ddd"))</f>
        <v/>
      </c>
      <c r="C77" s="4" t="n"/>
      <c r="D77" s="4" t="n"/>
      <c r="E77" s="4" t="n"/>
      <c r="F77" s="4" t="n"/>
      <c r="G77" s="6" t="n"/>
      <c r="H77" s="11">
        <f>IF($C77="","",IF($C77="Equipment",IFERROR(VLOOKUP($E77,EquipRates,IF(AND($F77&lt;&gt;"",$F77&lt;1),3,2),FALSE),0),IFERROR(VLOOKUP($C77,Trucks,2,FALSE),"")))</f>
        <v/>
      </c>
      <c r="I77" s="11">
        <f>IF($C77="","",CEILING(IF($H77&lt;&gt;"",$H77,IF($G77="",0,$G77))*IF($F77="",1,$F77),RoundInc))</f>
        <v/>
      </c>
      <c r="J77" s="4" t="n"/>
      <c r="K77" s="9">
        <f>IF($C77="","",IF(OR($C77="Truck stock",$C77="Purchase",$C77="Tech expense",$C77="Other"),"Yes","No"))</f>
        <v/>
      </c>
      <c r="L77" s="4" t="n"/>
      <c r="M77" s="9">
        <f>IF($A77="","",COUNTIF($A$2:$A77,$A77))</f>
        <v/>
      </c>
      <c r="N77" s="9">
        <f>IF($A77="","",TEXT($A77,"yyyy-mm-dd")&amp;"#"&amp;$M77)</f>
        <v/>
      </c>
    </row>
    <row r="78">
      <c r="A78" s="8" t="n"/>
      <c r="B78" s="9">
        <f>IF($A78="","",TEXT($A78,"ddd"))</f>
        <v/>
      </c>
      <c r="C78" s="4" t="n"/>
      <c r="D78" s="4" t="n"/>
      <c r="E78" s="4" t="n"/>
      <c r="F78" s="4" t="n"/>
      <c r="G78" s="6" t="n"/>
      <c r="H78" s="11">
        <f>IF($C78="","",IF($C78="Equipment",IFERROR(VLOOKUP($E78,EquipRates,IF(AND($F78&lt;&gt;"",$F78&lt;1),3,2),FALSE),0),IFERROR(VLOOKUP($C78,Trucks,2,FALSE),"")))</f>
        <v/>
      </c>
      <c r="I78" s="11">
        <f>IF($C78="","",CEILING(IF($H78&lt;&gt;"",$H78,IF($G78="",0,$G78))*IF($F78="",1,$F78),RoundInc))</f>
        <v/>
      </c>
      <c r="J78" s="4" t="n"/>
      <c r="K78" s="9">
        <f>IF($C78="","",IF(OR($C78="Truck stock",$C78="Purchase",$C78="Tech expense",$C78="Other"),"Yes","No"))</f>
        <v/>
      </c>
      <c r="L78" s="4" t="n"/>
      <c r="M78" s="9">
        <f>IF($A78="","",COUNTIF($A$2:$A78,$A78))</f>
        <v/>
      </c>
      <c r="N78" s="9">
        <f>IF($A78="","",TEXT($A78,"yyyy-mm-dd")&amp;"#"&amp;$M78)</f>
        <v/>
      </c>
    </row>
    <row r="79">
      <c r="A79" s="8" t="n"/>
      <c r="B79" s="9">
        <f>IF($A79="","",TEXT($A79,"ddd"))</f>
        <v/>
      </c>
      <c r="C79" s="4" t="n"/>
      <c r="D79" s="4" t="n"/>
      <c r="E79" s="4" t="n"/>
      <c r="F79" s="4" t="n"/>
      <c r="G79" s="6" t="n"/>
      <c r="H79" s="11">
        <f>IF($C79="","",IF($C79="Equipment",IFERROR(VLOOKUP($E79,EquipRates,IF(AND($F79&lt;&gt;"",$F79&lt;1),3,2),FALSE),0),IFERROR(VLOOKUP($C79,Trucks,2,FALSE),"")))</f>
        <v/>
      </c>
      <c r="I79" s="11">
        <f>IF($C79="","",CEILING(IF($H79&lt;&gt;"",$H79,IF($G79="",0,$G79))*IF($F79="",1,$F79),RoundInc))</f>
        <v/>
      </c>
      <c r="J79" s="4" t="n"/>
      <c r="K79" s="9">
        <f>IF($C79="","",IF(OR($C79="Truck stock",$C79="Purchase",$C79="Tech expense",$C79="Other"),"Yes","No"))</f>
        <v/>
      </c>
      <c r="L79" s="4" t="n"/>
      <c r="M79" s="9">
        <f>IF($A79="","",COUNTIF($A$2:$A79,$A79))</f>
        <v/>
      </c>
      <c r="N79" s="9">
        <f>IF($A79="","",TEXT($A79,"yyyy-mm-dd")&amp;"#"&amp;$M79)</f>
        <v/>
      </c>
    </row>
    <row r="80">
      <c r="A80" s="8" t="n"/>
      <c r="B80" s="9">
        <f>IF($A80="","",TEXT($A80,"ddd"))</f>
        <v/>
      </c>
      <c r="C80" s="4" t="n"/>
      <c r="D80" s="4" t="n"/>
      <c r="E80" s="4" t="n"/>
      <c r="F80" s="4" t="n"/>
      <c r="G80" s="6" t="n"/>
      <c r="H80" s="11">
        <f>IF($C80="","",IF($C80="Equipment",IFERROR(VLOOKUP($E80,EquipRates,IF(AND($F80&lt;&gt;"",$F80&lt;1),3,2),FALSE),0),IFERROR(VLOOKUP($C80,Trucks,2,FALSE),"")))</f>
        <v/>
      </c>
      <c r="I80" s="11">
        <f>IF($C80="","",CEILING(IF($H80&lt;&gt;"",$H80,IF($G80="",0,$G80))*IF($F80="",1,$F80),RoundInc))</f>
        <v/>
      </c>
      <c r="J80" s="4" t="n"/>
      <c r="K80" s="9">
        <f>IF($C80="","",IF(OR($C80="Truck stock",$C80="Purchase",$C80="Tech expense",$C80="Other"),"Yes","No"))</f>
        <v/>
      </c>
      <c r="L80" s="4" t="n"/>
      <c r="M80" s="9">
        <f>IF($A80="","",COUNTIF($A$2:$A80,$A80))</f>
        <v/>
      </c>
      <c r="N80" s="9">
        <f>IF($A80="","",TEXT($A80,"yyyy-mm-dd")&amp;"#"&amp;$M80)</f>
        <v/>
      </c>
    </row>
    <row r="81">
      <c r="A81" s="8" t="n"/>
      <c r="B81" s="9">
        <f>IF($A81="","",TEXT($A81,"ddd"))</f>
        <v/>
      </c>
      <c r="C81" s="4" t="n"/>
      <c r="D81" s="4" t="n"/>
      <c r="E81" s="4" t="n"/>
      <c r="F81" s="4" t="n"/>
      <c r="G81" s="6" t="n"/>
      <c r="H81" s="11">
        <f>IF($C81="","",IF($C81="Equipment",IFERROR(VLOOKUP($E81,EquipRates,IF(AND($F81&lt;&gt;"",$F81&lt;1),3,2),FALSE),0),IFERROR(VLOOKUP($C81,Trucks,2,FALSE),"")))</f>
        <v/>
      </c>
      <c r="I81" s="11">
        <f>IF($C81="","",CEILING(IF($H81&lt;&gt;"",$H81,IF($G81="",0,$G81))*IF($F81="",1,$F81),RoundInc))</f>
        <v/>
      </c>
      <c r="J81" s="4" t="n"/>
      <c r="K81" s="9">
        <f>IF($C81="","",IF(OR($C81="Truck stock",$C81="Purchase",$C81="Tech expense",$C81="Other"),"Yes","No"))</f>
        <v/>
      </c>
      <c r="L81" s="4" t="n"/>
      <c r="M81" s="9">
        <f>IF($A81="","",COUNTIF($A$2:$A81,$A81))</f>
        <v/>
      </c>
      <c r="N81" s="9">
        <f>IF($A81="","",TEXT($A81,"yyyy-mm-dd")&amp;"#"&amp;$M81)</f>
        <v/>
      </c>
    </row>
    <row r="82">
      <c r="A82" s="8" t="n"/>
      <c r="B82" s="9">
        <f>IF($A82="","",TEXT($A82,"ddd"))</f>
        <v/>
      </c>
      <c r="C82" s="4" t="n"/>
      <c r="D82" s="4" t="n"/>
      <c r="E82" s="4" t="n"/>
      <c r="F82" s="4" t="n"/>
      <c r="G82" s="6" t="n"/>
      <c r="H82" s="11">
        <f>IF($C82="","",IF($C82="Equipment",IFERROR(VLOOKUP($E82,EquipRates,IF(AND($F82&lt;&gt;"",$F82&lt;1),3,2),FALSE),0),IFERROR(VLOOKUP($C82,Trucks,2,FALSE),"")))</f>
        <v/>
      </c>
      <c r="I82" s="11">
        <f>IF($C82="","",CEILING(IF($H82&lt;&gt;"",$H82,IF($G82="",0,$G82))*IF($F82="",1,$F82),RoundInc))</f>
        <v/>
      </c>
      <c r="J82" s="4" t="n"/>
      <c r="K82" s="9">
        <f>IF($C82="","",IF(OR($C82="Truck stock",$C82="Purchase",$C82="Tech expense",$C82="Other"),"Yes","No"))</f>
        <v/>
      </c>
      <c r="L82" s="4" t="n"/>
      <c r="M82" s="9">
        <f>IF($A82="","",COUNTIF($A$2:$A82,$A82))</f>
        <v/>
      </c>
      <c r="N82" s="9">
        <f>IF($A82="","",TEXT($A82,"yyyy-mm-dd")&amp;"#"&amp;$M82)</f>
        <v/>
      </c>
    </row>
    <row r="83">
      <c r="A83" s="8" t="n"/>
      <c r="B83" s="9">
        <f>IF($A83="","",TEXT($A83,"ddd"))</f>
        <v/>
      </c>
      <c r="C83" s="4" t="n"/>
      <c r="D83" s="4" t="n"/>
      <c r="E83" s="4" t="n"/>
      <c r="F83" s="4" t="n"/>
      <c r="G83" s="6" t="n"/>
      <c r="H83" s="11">
        <f>IF($C83="","",IF($C83="Equipment",IFERROR(VLOOKUP($E83,EquipRates,IF(AND($F83&lt;&gt;"",$F83&lt;1),3,2),FALSE),0),IFERROR(VLOOKUP($C83,Trucks,2,FALSE),"")))</f>
        <v/>
      </c>
      <c r="I83" s="11">
        <f>IF($C83="","",CEILING(IF($H83&lt;&gt;"",$H83,IF($G83="",0,$G83))*IF($F83="",1,$F83),RoundInc))</f>
        <v/>
      </c>
      <c r="J83" s="4" t="n"/>
      <c r="K83" s="9">
        <f>IF($C83="","",IF(OR($C83="Truck stock",$C83="Purchase",$C83="Tech expense",$C83="Other"),"Yes","No"))</f>
        <v/>
      </c>
      <c r="L83" s="4" t="n"/>
      <c r="M83" s="9">
        <f>IF($A83="","",COUNTIF($A$2:$A83,$A83))</f>
        <v/>
      </c>
      <c r="N83" s="9">
        <f>IF($A83="","",TEXT($A83,"yyyy-mm-dd")&amp;"#"&amp;$M83)</f>
        <v/>
      </c>
    </row>
    <row r="84">
      <c r="A84" s="8" t="n"/>
      <c r="B84" s="9">
        <f>IF($A84="","",TEXT($A84,"ddd"))</f>
        <v/>
      </c>
      <c r="C84" s="4" t="n"/>
      <c r="D84" s="4" t="n"/>
      <c r="E84" s="4" t="n"/>
      <c r="F84" s="4" t="n"/>
      <c r="G84" s="6" t="n"/>
      <c r="H84" s="11">
        <f>IF($C84="","",IF($C84="Equipment",IFERROR(VLOOKUP($E84,EquipRates,IF(AND($F84&lt;&gt;"",$F84&lt;1),3,2),FALSE),0),IFERROR(VLOOKUP($C84,Trucks,2,FALSE),"")))</f>
        <v/>
      </c>
      <c r="I84" s="11">
        <f>IF($C84="","",CEILING(IF($H84&lt;&gt;"",$H84,IF($G84="",0,$G84))*IF($F84="",1,$F84),RoundInc))</f>
        <v/>
      </c>
      <c r="J84" s="4" t="n"/>
      <c r="K84" s="9">
        <f>IF($C84="","",IF(OR($C84="Truck stock",$C84="Purchase",$C84="Tech expense",$C84="Other"),"Yes","No"))</f>
        <v/>
      </c>
      <c r="L84" s="4" t="n"/>
      <c r="M84" s="9">
        <f>IF($A84="","",COUNTIF($A$2:$A84,$A84))</f>
        <v/>
      </c>
      <c r="N84" s="9">
        <f>IF($A84="","",TEXT($A84,"yyyy-mm-dd")&amp;"#"&amp;$M84)</f>
        <v/>
      </c>
    </row>
    <row r="85">
      <c r="A85" s="8" t="n"/>
      <c r="B85" s="9">
        <f>IF($A85="","",TEXT($A85,"ddd"))</f>
        <v/>
      </c>
      <c r="C85" s="4" t="n"/>
      <c r="D85" s="4" t="n"/>
      <c r="E85" s="4" t="n"/>
      <c r="F85" s="4" t="n"/>
      <c r="G85" s="6" t="n"/>
      <c r="H85" s="11">
        <f>IF($C85="","",IF($C85="Equipment",IFERROR(VLOOKUP($E85,EquipRates,IF(AND($F85&lt;&gt;"",$F85&lt;1),3,2),FALSE),0),IFERROR(VLOOKUP($C85,Trucks,2,FALSE),"")))</f>
        <v/>
      </c>
      <c r="I85" s="11">
        <f>IF($C85="","",CEILING(IF($H85&lt;&gt;"",$H85,IF($G85="",0,$G85))*IF($F85="",1,$F85),RoundInc))</f>
        <v/>
      </c>
      <c r="J85" s="4" t="n"/>
      <c r="K85" s="9">
        <f>IF($C85="","",IF(OR($C85="Truck stock",$C85="Purchase",$C85="Tech expense",$C85="Other"),"Yes","No"))</f>
        <v/>
      </c>
      <c r="L85" s="4" t="n"/>
      <c r="M85" s="9">
        <f>IF($A85="","",COUNTIF($A$2:$A85,$A85))</f>
        <v/>
      </c>
      <c r="N85" s="9">
        <f>IF($A85="","",TEXT($A85,"yyyy-mm-dd")&amp;"#"&amp;$M85)</f>
        <v/>
      </c>
    </row>
    <row r="86">
      <c r="A86" s="8" t="n"/>
      <c r="B86" s="9">
        <f>IF($A86="","",TEXT($A86,"ddd"))</f>
        <v/>
      </c>
      <c r="C86" s="4" t="n"/>
      <c r="D86" s="4" t="n"/>
      <c r="E86" s="4" t="n"/>
      <c r="F86" s="4" t="n"/>
      <c r="G86" s="6" t="n"/>
      <c r="H86" s="11">
        <f>IF($C86="","",IF($C86="Equipment",IFERROR(VLOOKUP($E86,EquipRates,IF(AND($F86&lt;&gt;"",$F86&lt;1),3,2),FALSE),0),IFERROR(VLOOKUP($C86,Trucks,2,FALSE),"")))</f>
        <v/>
      </c>
      <c r="I86" s="11">
        <f>IF($C86="","",CEILING(IF($H86&lt;&gt;"",$H86,IF($G86="",0,$G86))*IF($F86="",1,$F86),RoundInc))</f>
        <v/>
      </c>
      <c r="J86" s="4" t="n"/>
      <c r="K86" s="9">
        <f>IF($C86="","",IF(OR($C86="Truck stock",$C86="Purchase",$C86="Tech expense",$C86="Other"),"Yes","No"))</f>
        <v/>
      </c>
      <c r="L86" s="4" t="n"/>
      <c r="M86" s="9">
        <f>IF($A86="","",COUNTIF($A$2:$A86,$A86))</f>
        <v/>
      </c>
      <c r="N86" s="9">
        <f>IF($A86="","",TEXT($A86,"yyyy-mm-dd")&amp;"#"&amp;$M86)</f>
        <v/>
      </c>
    </row>
    <row r="87">
      <c r="A87" s="8" t="n"/>
      <c r="B87" s="9">
        <f>IF($A87="","",TEXT($A87,"ddd"))</f>
        <v/>
      </c>
      <c r="C87" s="4" t="n"/>
      <c r="D87" s="4" t="n"/>
      <c r="E87" s="4" t="n"/>
      <c r="F87" s="4" t="n"/>
      <c r="G87" s="6" t="n"/>
      <c r="H87" s="11">
        <f>IF($C87="","",IF($C87="Equipment",IFERROR(VLOOKUP($E87,EquipRates,IF(AND($F87&lt;&gt;"",$F87&lt;1),3,2),FALSE),0),IFERROR(VLOOKUP($C87,Trucks,2,FALSE),"")))</f>
        <v/>
      </c>
      <c r="I87" s="11">
        <f>IF($C87="","",CEILING(IF($H87&lt;&gt;"",$H87,IF($G87="",0,$G87))*IF($F87="",1,$F87),RoundInc))</f>
        <v/>
      </c>
      <c r="J87" s="4" t="n"/>
      <c r="K87" s="9">
        <f>IF($C87="","",IF(OR($C87="Truck stock",$C87="Purchase",$C87="Tech expense",$C87="Other"),"Yes","No"))</f>
        <v/>
      </c>
      <c r="L87" s="4" t="n"/>
      <c r="M87" s="9">
        <f>IF($A87="","",COUNTIF($A$2:$A87,$A87))</f>
        <v/>
      </c>
      <c r="N87" s="9">
        <f>IF($A87="","",TEXT($A87,"yyyy-mm-dd")&amp;"#"&amp;$M87)</f>
        <v/>
      </c>
    </row>
    <row r="88">
      <c r="A88" s="8" t="n"/>
      <c r="B88" s="9">
        <f>IF($A88="","",TEXT($A88,"ddd"))</f>
        <v/>
      </c>
      <c r="C88" s="4" t="n"/>
      <c r="D88" s="4" t="n"/>
      <c r="E88" s="4" t="n"/>
      <c r="F88" s="4" t="n"/>
      <c r="G88" s="6" t="n"/>
      <c r="H88" s="11">
        <f>IF($C88="","",IF($C88="Equipment",IFERROR(VLOOKUP($E88,EquipRates,IF(AND($F88&lt;&gt;"",$F88&lt;1),3,2),FALSE),0),IFERROR(VLOOKUP($C88,Trucks,2,FALSE),"")))</f>
        <v/>
      </c>
      <c r="I88" s="11">
        <f>IF($C88="","",CEILING(IF($H88&lt;&gt;"",$H88,IF($G88="",0,$G88))*IF($F88="",1,$F88),RoundInc))</f>
        <v/>
      </c>
      <c r="J88" s="4" t="n"/>
      <c r="K88" s="9">
        <f>IF($C88="","",IF(OR($C88="Truck stock",$C88="Purchase",$C88="Tech expense",$C88="Other"),"Yes","No"))</f>
        <v/>
      </c>
      <c r="L88" s="4" t="n"/>
      <c r="M88" s="9">
        <f>IF($A88="","",COUNTIF($A$2:$A88,$A88))</f>
        <v/>
      </c>
      <c r="N88" s="9">
        <f>IF($A88="","",TEXT($A88,"yyyy-mm-dd")&amp;"#"&amp;$M88)</f>
        <v/>
      </c>
    </row>
    <row r="89">
      <c r="A89" s="8" t="n"/>
      <c r="B89" s="9">
        <f>IF($A89="","",TEXT($A89,"ddd"))</f>
        <v/>
      </c>
      <c r="C89" s="4" t="n"/>
      <c r="D89" s="4" t="n"/>
      <c r="E89" s="4" t="n"/>
      <c r="F89" s="4" t="n"/>
      <c r="G89" s="6" t="n"/>
      <c r="H89" s="11">
        <f>IF($C89="","",IF($C89="Equipment",IFERROR(VLOOKUP($E89,EquipRates,IF(AND($F89&lt;&gt;"",$F89&lt;1),3,2),FALSE),0),IFERROR(VLOOKUP($C89,Trucks,2,FALSE),"")))</f>
        <v/>
      </c>
      <c r="I89" s="11">
        <f>IF($C89="","",CEILING(IF($H89&lt;&gt;"",$H89,IF($G89="",0,$G89))*IF($F89="",1,$F89),RoundInc))</f>
        <v/>
      </c>
      <c r="J89" s="4" t="n"/>
      <c r="K89" s="9">
        <f>IF($C89="","",IF(OR($C89="Truck stock",$C89="Purchase",$C89="Tech expense",$C89="Other"),"Yes","No"))</f>
        <v/>
      </c>
      <c r="L89" s="4" t="n"/>
      <c r="M89" s="9">
        <f>IF($A89="","",COUNTIF($A$2:$A89,$A89))</f>
        <v/>
      </c>
      <c r="N89" s="9">
        <f>IF($A89="","",TEXT($A89,"yyyy-mm-dd")&amp;"#"&amp;$M89)</f>
        <v/>
      </c>
    </row>
    <row r="90">
      <c r="A90" s="8" t="n"/>
      <c r="B90" s="9">
        <f>IF($A90="","",TEXT($A90,"ddd"))</f>
        <v/>
      </c>
      <c r="C90" s="4" t="n"/>
      <c r="D90" s="4" t="n"/>
      <c r="E90" s="4" t="n"/>
      <c r="F90" s="4" t="n"/>
      <c r="G90" s="6" t="n"/>
      <c r="H90" s="11">
        <f>IF($C90="","",IF($C90="Equipment",IFERROR(VLOOKUP($E90,EquipRates,IF(AND($F90&lt;&gt;"",$F90&lt;1),3,2),FALSE),0),IFERROR(VLOOKUP($C90,Trucks,2,FALSE),"")))</f>
        <v/>
      </c>
      <c r="I90" s="11">
        <f>IF($C90="","",CEILING(IF($H90&lt;&gt;"",$H90,IF($G90="",0,$G90))*IF($F90="",1,$F90),RoundInc))</f>
        <v/>
      </c>
      <c r="J90" s="4" t="n"/>
      <c r="K90" s="9">
        <f>IF($C90="","",IF(OR($C90="Truck stock",$C90="Purchase",$C90="Tech expense",$C90="Other"),"Yes","No"))</f>
        <v/>
      </c>
      <c r="L90" s="4" t="n"/>
      <c r="M90" s="9">
        <f>IF($A90="","",COUNTIF($A$2:$A90,$A90))</f>
        <v/>
      </c>
      <c r="N90" s="9">
        <f>IF($A90="","",TEXT($A90,"yyyy-mm-dd")&amp;"#"&amp;$M90)</f>
        <v/>
      </c>
    </row>
    <row r="91">
      <c r="A91" s="8" t="n"/>
      <c r="B91" s="9">
        <f>IF($A91="","",TEXT($A91,"ddd"))</f>
        <v/>
      </c>
      <c r="C91" s="4" t="n"/>
      <c r="D91" s="4" t="n"/>
      <c r="E91" s="4" t="n"/>
      <c r="F91" s="4" t="n"/>
      <c r="G91" s="6" t="n"/>
      <c r="H91" s="11">
        <f>IF($C91="","",IF($C91="Equipment",IFERROR(VLOOKUP($E91,EquipRates,IF(AND($F91&lt;&gt;"",$F91&lt;1),3,2),FALSE),0),IFERROR(VLOOKUP($C91,Trucks,2,FALSE),"")))</f>
        <v/>
      </c>
      <c r="I91" s="11">
        <f>IF($C91="","",CEILING(IF($H91&lt;&gt;"",$H91,IF($G91="",0,$G91))*IF($F91="",1,$F91),RoundInc))</f>
        <v/>
      </c>
      <c r="J91" s="4" t="n"/>
      <c r="K91" s="9">
        <f>IF($C91="","",IF(OR($C91="Truck stock",$C91="Purchase",$C91="Tech expense",$C91="Other"),"Yes","No"))</f>
        <v/>
      </c>
      <c r="L91" s="4" t="n"/>
      <c r="M91" s="9">
        <f>IF($A91="","",COUNTIF($A$2:$A91,$A91))</f>
        <v/>
      </c>
      <c r="N91" s="9">
        <f>IF($A91="","",TEXT($A91,"yyyy-mm-dd")&amp;"#"&amp;$M91)</f>
        <v/>
      </c>
    </row>
    <row r="92">
      <c r="A92" s="8" t="n"/>
      <c r="B92" s="9">
        <f>IF($A92="","",TEXT($A92,"ddd"))</f>
        <v/>
      </c>
      <c r="C92" s="4" t="n"/>
      <c r="D92" s="4" t="n"/>
      <c r="E92" s="4" t="n"/>
      <c r="F92" s="4" t="n"/>
      <c r="G92" s="6" t="n"/>
      <c r="H92" s="11">
        <f>IF($C92="","",IF($C92="Equipment",IFERROR(VLOOKUP($E92,EquipRates,IF(AND($F92&lt;&gt;"",$F92&lt;1),3,2),FALSE),0),IFERROR(VLOOKUP($C92,Trucks,2,FALSE),"")))</f>
        <v/>
      </c>
      <c r="I92" s="11">
        <f>IF($C92="","",CEILING(IF($H92&lt;&gt;"",$H92,IF($G92="",0,$G92))*IF($F92="",1,$F92),RoundInc))</f>
        <v/>
      </c>
      <c r="J92" s="4" t="n"/>
      <c r="K92" s="9">
        <f>IF($C92="","",IF(OR($C92="Truck stock",$C92="Purchase",$C92="Tech expense",$C92="Other"),"Yes","No"))</f>
        <v/>
      </c>
      <c r="L92" s="4" t="n"/>
      <c r="M92" s="9">
        <f>IF($A92="","",COUNTIF($A$2:$A92,$A92))</f>
        <v/>
      </c>
      <c r="N92" s="9">
        <f>IF($A92="","",TEXT($A92,"yyyy-mm-dd")&amp;"#"&amp;$M92)</f>
        <v/>
      </c>
    </row>
    <row r="93">
      <c r="A93" s="8" t="n"/>
      <c r="B93" s="9">
        <f>IF($A93="","",TEXT($A93,"ddd"))</f>
        <v/>
      </c>
      <c r="C93" s="4" t="n"/>
      <c r="D93" s="4" t="n"/>
      <c r="E93" s="4" t="n"/>
      <c r="F93" s="4" t="n"/>
      <c r="G93" s="6" t="n"/>
      <c r="H93" s="11">
        <f>IF($C93="","",IF($C93="Equipment",IFERROR(VLOOKUP($E93,EquipRates,IF(AND($F93&lt;&gt;"",$F93&lt;1),3,2),FALSE),0),IFERROR(VLOOKUP($C93,Trucks,2,FALSE),"")))</f>
        <v/>
      </c>
      <c r="I93" s="11">
        <f>IF($C93="","",CEILING(IF($H93&lt;&gt;"",$H93,IF($G93="",0,$G93))*IF($F93="",1,$F93),RoundInc))</f>
        <v/>
      </c>
      <c r="J93" s="4" t="n"/>
      <c r="K93" s="9">
        <f>IF($C93="","",IF(OR($C93="Truck stock",$C93="Purchase",$C93="Tech expense",$C93="Other"),"Yes","No"))</f>
        <v/>
      </c>
      <c r="L93" s="4" t="n"/>
      <c r="M93" s="9">
        <f>IF($A93="","",COUNTIF($A$2:$A93,$A93))</f>
        <v/>
      </c>
      <c r="N93" s="9">
        <f>IF($A93="","",TEXT($A93,"yyyy-mm-dd")&amp;"#"&amp;$M93)</f>
        <v/>
      </c>
    </row>
    <row r="94">
      <c r="A94" s="8" t="n"/>
      <c r="B94" s="9">
        <f>IF($A94="","",TEXT($A94,"ddd"))</f>
        <v/>
      </c>
      <c r="C94" s="4" t="n"/>
      <c r="D94" s="4" t="n"/>
      <c r="E94" s="4" t="n"/>
      <c r="F94" s="4" t="n"/>
      <c r="G94" s="6" t="n"/>
      <c r="H94" s="11">
        <f>IF($C94="","",IF($C94="Equipment",IFERROR(VLOOKUP($E94,EquipRates,IF(AND($F94&lt;&gt;"",$F94&lt;1),3,2),FALSE),0),IFERROR(VLOOKUP($C94,Trucks,2,FALSE),"")))</f>
        <v/>
      </c>
      <c r="I94" s="11">
        <f>IF($C94="","",CEILING(IF($H94&lt;&gt;"",$H94,IF($G94="",0,$G94))*IF($F94="",1,$F94),RoundInc))</f>
        <v/>
      </c>
      <c r="J94" s="4" t="n"/>
      <c r="K94" s="9">
        <f>IF($C94="","",IF(OR($C94="Truck stock",$C94="Purchase",$C94="Tech expense",$C94="Other"),"Yes","No"))</f>
        <v/>
      </c>
      <c r="L94" s="4" t="n"/>
      <c r="M94" s="9">
        <f>IF($A94="","",COUNTIF($A$2:$A94,$A94))</f>
        <v/>
      </c>
      <c r="N94" s="9">
        <f>IF($A94="","",TEXT($A94,"yyyy-mm-dd")&amp;"#"&amp;$M94)</f>
        <v/>
      </c>
    </row>
    <row r="95">
      <c r="A95" s="8" t="n"/>
      <c r="B95" s="9">
        <f>IF($A95="","",TEXT($A95,"ddd"))</f>
        <v/>
      </c>
      <c r="C95" s="4" t="n"/>
      <c r="D95" s="4" t="n"/>
      <c r="E95" s="4" t="n"/>
      <c r="F95" s="4" t="n"/>
      <c r="G95" s="6" t="n"/>
      <c r="H95" s="11">
        <f>IF($C95="","",IF($C95="Equipment",IFERROR(VLOOKUP($E95,EquipRates,IF(AND($F95&lt;&gt;"",$F95&lt;1),3,2),FALSE),0),IFERROR(VLOOKUP($C95,Trucks,2,FALSE),"")))</f>
        <v/>
      </c>
      <c r="I95" s="11">
        <f>IF($C95="","",CEILING(IF($H95&lt;&gt;"",$H95,IF($G95="",0,$G95))*IF($F95="",1,$F95),RoundInc))</f>
        <v/>
      </c>
      <c r="J95" s="4" t="n"/>
      <c r="K95" s="9">
        <f>IF($C95="","",IF(OR($C95="Truck stock",$C95="Purchase",$C95="Tech expense",$C95="Other"),"Yes","No"))</f>
        <v/>
      </c>
      <c r="L95" s="4" t="n"/>
      <c r="M95" s="9">
        <f>IF($A95="","",COUNTIF($A$2:$A95,$A95))</f>
        <v/>
      </c>
      <c r="N95" s="9">
        <f>IF($A95="","",TEXT($A95,"yyyy-mm-dd")&amp;"#"&amp;$M95)</f>
        <v/>
      </c>
    </row>
    <row r="96">
      <c r="A96" s="8" t="n"/>
      <c r="B96" s="9">
        <f>IF($A96="","",TEXT($A96,"ddd"))</f>
        <v/>
      </c>
      <c r="C96" s="4" t="n"/>
      <c r="D96" s="4" t="n"/>
      <c r="E96" s="4" t="n"/>
      <c r="F96" s="4" t="n"/>
      <c r="G96" s="6" t="n"/>
      <c r="H96" s="11">
        <f>IF($C96="","",IF($C96="Equipment",IFERROR(VLOOKUP($E96,EquipRates,IF(AND($F96&lt;&gt;"",$F96&lt;1),3,2),FALSE),0),IFERROR(VLOOKUP($C96,Trucks,2,FALSE),"")))</f>
        <v/>
      </c>
      <c r="I96" s="11">
        <f>IF($C96="","",CEILING(IF($H96&lt;&gt;"",$H96,IF($G96="",0,$G96))*IF($F96="",1,$F96),RoundInc))</f>
        <v/>
      </c>
      <c r="J96" s="4" t="n"/>
      <c r="K96" s="9">
        <f>IF($C96="","",IF(OR($C96="Truck stock",$C96="Purchase",$C96="Tech expense",$C96="Other"),"Yes","No"))</f>
        <v/>
      </c>
      <c r="L96" s="4" t="n"/>
      <c r="M96" s="9">
        <f>IF($A96="","",COUNTIF($A$2:$A96,$A96))</f>
        <v/>
      </c>
      <c r="N96" s="9">
        <f>IF($A96="","",TEXT($A96,"yyyy-mm-dd")&amp;"#"&amp;$M96)</f>
        <v/>
      </c>
    </row>
    <row r="97">
      <c r="A97" s="8" t="n"/>
      <c r="B97" s="9">
        <f>IF($A97="","",TEXT($A97,"ddd"))</f>
        <v/>
      </c>
      <c r="C97" s="4" t="n"/>
      <c r="D97" s="4" t="n"/>
      <c r="E97" s="4" t="n"/>
      <c r="F97" s="4" t="n"/>
      <c r="G97" s="6" t="n"/>
      <c r="H97" s="11">
        <f>IF($C97="","",IF($C97="Equipment",IFERROR(VLOOKUP($E97,EquipRates,IF(AND($F97&lt;&gt;"",$F97&lt;1),3,2),FALSE),0),IFERROR(VLOOKUP($C97,Trucks,2,FALSE),"")))</f>
        <v/>
      </c>
      <c r="I97" s="11">
        <f>IF($C97="","",CEILING(IF($H97&lt;&gt;"",$H97,IF($G97="",0,$G97))*IF($F97="",1,$F97),RoundInc))</f>
        <v/>
      </c>
      <c r="J97" s="4" t="n"/>
      <c r="K97" s="9">
        <f>IF($C97="","",IF(OR($C97="Truck stock",$C97="Purchase",$C97="Tech expense",$C97="Other"),"Yes","No"))</f>
        <v/>
      </c>
      <c r="L97" s="4" t="n"/>
      <c r="M97" s="9">
        <f>IF($A97="","",COUNTIF($A$2:$A97,$A97))</f>
        <v/>
      </c>
      <c r="N97" s="9">
        <f>IF($A97="","",TEXT($A97,"yyyy-mm-dd")&amp;"#"&amp;$M97)</f>
        <v/>
      </c>
    </row>
    <row r="98">
      <c r="A98" s="8" t="n"/>
      <c r="B98" s="9">
        <f>IF($A98="","",TEXT($A98,"ddd"))</f>
        <v/>
      </c>
      <c r="C98" s="4" t="n"/>
      <c r="D98" s="4" t="n"/>
      <c r="E98" s="4" t="n"/>
      <c r="F98" s="4" t="n"/>
      <c r="G98" s="6" t="n"/>
      <c r="H98" s="11">
        <f>IF($C98="","",IF($C98="Equipment",IFERROR(VLOOKUP($E98,EquipRates,IF(AND($F98&lt;&gt;"",$F98&lt;1),3,2),FALSE),0),IFERROR(VLOOKUP($C98,Trucks,2,FALSE),"")))</f>
        <v/>
      </c>
      <c r="I98" s="11">
        <f>IF($C98="","",CEILING(IF($H98&lt;&gt;"",$H98,IF($G98="",0,$G98))*IF($F98="",1,$F98),RoundInc))</f>
        <v/>
      </c>
      <c r="J98" s="4" t="n"/>
      <c r="K98" s="9">
        <f>IF($C98="","",IF(OR($C98="Truck stock",$C98="Purchase",$C98="Tech expense",$C98="Other"),"Yes","No"))</f>
        <v/>
      </c>
      <c r="L98" s="4" t="n"/>
      <c r="M98" s="9">
        <f>IF($A98="","",COUNTIF($A$2:$A98,$A98))</f>
        <v/>
      </c>
      <c r="N98" s="9">
        <f>IF($A98="","",TEXT($A98,"yyyy-mm-dd")&amp;"#"&amp;$M98)</f>
        <v/>
      </c>
    </row>
    <row r="99">
      <c r="A99" s="8" t="n"/>
      <c r="B99" s="9">
        <f>IF($A99="","",TEXT($A99,"ddd"))</f>
        <v/>
      </c>
      <c r="C99" s="4" t="n"/>
      <c r="D99" s="4" t="n"/>
      <c r="E99" s="4" t="n"/>
      <c r="F99" s="4" t="n"/>
      <c r="G99" s="6" t="n"/>
      <c r="H99" s="11">
        <f>IF($C99="","",IF($C99="Equipment",IFERROR(VLOOKUP($E99,EquipRates,IF(AND($F99&lt;&gt;"",$F99&lt;1),3,2),FALSE),0),IFERROR(VLOOKUP($C99,Trucks,2,FALSE),"")))</f>
        <v/>
      </c>
      <c r="I99" s="11">
        <f>IF($C99="","",CEILING(IF($H99&lt;&gt;"",$H99,IF($G99="",0,$G99))*IF($F99="",1,$F99),RoundInc))</f>
        <v/>
      </c>
      <c r="J99" s="4" t="n"/>
      <c r="K99" s="9">
        <f>IF($C99="","",IF(OR($C99="Truck stock",$C99="Purchase",$C99="Tech expense",$C99="Other"),"Yes","No"))</f>
        <v/>
      </c>
      <c r="L99" s="4" t="n"/>
      <c r="M99" s="9">
        <f>IF($A99="","",COUNTIF($A$2:$A99,$A99))</f>
        <v/>
      </c>
      <c r="N99" s="9">
        <f>IF($A99="","",TEXT($A99,"yyyy-mm-dd")&amp;"#"&amp;$M99)</f>
        <v/>
      </c>
    </row>
    <row r="100">
      <c r="A100" s="8" t="n"/>
      <c r="B100" s="9">
        <f>IF($A100="","",TEXT($A100,"ddd"))</f>
        <v/>
      </c>
      <c r="C100" s="4" t="n"/>
      <c r="D100" s="4" t="n"/>
      <c r="E100" s="4" t="n"/>
      <c r="F100" s="4" t="n"/>
      <c r="G100" s="6" t="n"/>
      <c r="H100" s="11">
        <f>IF($C100="","",IF($C100="Equipment",IFERROR(VLOOKUP($E100,EquipRates,IF(AND($F100&lt;&gt;"",$F100&lt;1),3,2),FALSE),0),IFERROR(VLOOKUP($C100,Trucks,2,FALSE),"")))</f>
        <v/>
      </c>
      <c r="I100" s="11">
        <f>IF($C100="","",CEILING(IF($H100&lt;&gt;"",$H100,IF($G100="",0,$G100))*IF($F100="",1,$F100),RoundInc))</f>
        <v/>
      </c>
      <c r="J100" s="4" t="n"/>
      <c r="K100" s="9">
        <f>IF($C100="","",IF(OR($C100="Truck stock",$C100="Purchase",$C100="Tech expense",$C100="Other"),"Yes","No"))</f>
        <v/>
      </c>
      <c r="L100" s="4" t="n"/>
      <c r="M100" s="9">
        <f>IF($A100="","",COUNTIF($A$2:$A100,$A100))</f>
        <v/>
      </c>
      <c r="N100" s="9">
        <f>IF($A100="","",TEXT($A100,"yyyy-mm-dd")&amp;"#"&amp;$M100)</f>
        <v/>
      </c>
    </row>
    <row r="101">
      <c r="A101" s="8" t="n"/>
      <c r="B101" s="9">
        <f>IF($A101="","",TEXT($A101,"ddd"))</f>
        <v/>
      </c>
      <c r="C101" s="4" t="n"/>
      <c r="D101" s="4" t="n"/>
      <c r="E101" s="4" t="n"/>
      <c r="F101" s="4" t="n"/>
      <c r="G101" s="6" t="n"/>
      <c r="H101" s="11">
        <f>IF($C101="","",IF($C101="Equipment",IFERROR(VLOOKUP($E101,EquipRates,IF(AND($F101&lt;&gt;"",$F101&lt;1),3,2),FALSE),0),IFERROR(VLOOKUP($C101,Trucks,2,FALSE),"")))</f>
        <v/>
      </c>
      <c r="I101" s="11">
        <f>IF($C101="","",CEILING(IF($H101&lt;&gt;"",$H101,IF($G101="",0,$G101))*IF($F101="",1,$F101),RoundInc))</f>
        <v/>
      </c>
      <c r="J101" s="4" t="n"/>
      <c r="K101" s="9">
        <f>IF($C101="","",IF(OR($C101="Truck stock",$C101="Purchase",$C101="Tech expense",$C101="Other"),"Yes","No"))</f>
        <v/>
      </c>
      <c r="L101" s="4" t="n"/>
      <c r="M101" s="9">
        <f>IF($A101="","",COUNTIF($A$2:$A101,$A101))</f>
        <v/>
      </c>
      <c r="N101" s="9">
        <f>IF($A101="","",TEXT($A101,"yyyy-mm-dd")&amp;"#"&amp;$M101)</f>
        <v/>
      </c>
    </row>
    <row r="102">
      <c r="A102" s="8" t="n"/>
      <c r="B102" s="9">
        <f>IF($A102="","",TEXT($A102,"ddd"))</f>
        <v/>
      </c>
      <c r="C102" s="4" t="n"/>
      <c r="D102" s="4" t="n"/>
      <c r="E102" s="4" t="n"/>
      <c r="F102" s="4" t="n"/>
      <c r="G102" s="6" t="n"/>
      <c r="H102" s="11">
        <f>IF($C102="","",IF($C102="Equipment",IFERROR(VLOOKUP($E102,EquipRates,IF(AND($F102&lt;&gt;"",$F102&lt;1),3,2),FALSE),0),IFERROR(VLOOKUP($C102,Trucks,2,FALSE),"")))</f>
        <v/>
      </c>
      <c r="I102" s="11">
        <f>IF($C102="","",CEILING(IF($H102&lt;&gt;"",$H102,IF($G102="",0,$G102))*IF($F102="",1,$F102),RoundInc))</f>
        <v/>
      </c>
      <c r="J102" s="4" t="n"/>
      <c r="K102" s="9">
        <f>IF($C102="","",IF(OR($C102="Truck stock",$C102="Purchase",$C102="Tech expense",$C102="Other"),"Yes","No"))</f>
        <v/>
      </c>
      <c r="L102" s="4" t="n"/>
      <c r="M102" s="9">
        <f>IF($A102="","",COUNTIF($A$2:$A102,$A102))</f>
        <v/>
      </c>
      <c r="N102" s="9">
        <f>IF($A102="","",TEXT($A102,"yyyy-mm-dd")&amp;"#"&amp;$M102)</f>
        <v/>
      </c>
    </row>
    <row r="103">
      <c r="A103" s="8" t="n"/>
      <c r="B103" s="9">
        <f>IF($A103="","",TEXT($A103,"ddd"))</f>
        <v/>
      </c>
      <c r="C103" s="4" t="n"/>
      <c r="D103" s="4" t="n"/>
      <c r="E103" s="4" t="n"/>
      <c r="F103" s="4" t="n"/>
      <c r="G103" s="6" t="n"/>
      <c r="H103" s="11">
        <f>IF($C103="","",IF($C103="Equipment",IFERROR(VLOOKUP($E103,EquipRates,IF(AND($F103&lt;&gt;"",$F103&lt;1),3,2),FALSE),0),IFERROR(VLOOKUP($C103,Trucks,2,FALSE),"")))</f>
        <v/>
      </c>
      <c r="I103" s="11">
        <f>IF($C103="","",CEILING(IF($H103&lt;&gt;"",$H103,IF($G103="",0,$G103))*IF($F103="",1,$F103),RoundInc))</f>
        <v/>
      </c>
      <c r="J103" s="4" t="n"/>
      <c r="K103" s="9">
        <f>IF($C103="","",IF(OR($C103="Truck stock",$C103="Purchase",$C103="Tech expense",$C103="Other"),"Yes","No"))</f>
        <v/>
      </c>
      <c r="L103" s="4" t="n"/>
      <c r="M103" s="9">
        <f>IF($A103="","",COUNTIF($A$2:$A103,$A103))</f>
        <v/>
      </c>
      <c r="N103" s="9">
        <f>IF($A103="","",TEXT($A103,"yyyy-mm-dd")&amp;"#"&amp;$M103)</f>
        <v/>
      </c>
    </row>
    <row r="104">
      <c r="A104" s="8" t="n"/>
      <c r="B104" s="9">
        <f>IF($A104="","",TEXT($A104,"ddd"))</f>
        <v/>
      </c>
      <c r="C104" s="4" t="n"/>
      <c r="D104" s="4" t="n"/>
      <c r="E104" s="4" t="n"/>
      <c r="F104" s="4" t="n"/>
      <c r="G104" s="6" t="n"/>
      <c r="H104" s="11">
        <f>IF($C104="","",IF($C104="Equipment",IFERROR(VLOOKUP($E104,EquipRates,IF(AND($F104&lt;&gt;"",$F104&lt;1),3,2),FALSE),0),IFERROR(VLOOKUP($C104,Trucks,2,FALSE),"")))</f>
        <v/>
      </c>
      <c r="I104" s="11">
        <f>IF($C104="","",CEILING(IF($H104&lt;&gt;"",$H104,IF($G104="",0,$G104))*IF($F104="",1,$F104),RoundInc))</f>
        <v/>
      </c>
      <c r="J104" s="4" t="n"/>
      <c r="K104" s="9">
        <f>IF($C104="","",IF(OR($C104="Truck stock",$C104="Purchase",$C104="Tech expense",$C104="Other"),"Yes","No"))</f>
        <v/>
      </c>
      <c r="L104" s="4" t="n"/>
      <c r="M104" s="9">
        <f>IF($A104="","",COUNTIF($A$2:$A104,$A104))</f>
        <v/>
      </c>
      <c r="N104" s="9">
        <f>IF($A104="","",TEXT($A104,"yyyy-mm-dd")&amp;"#"&amp;$M104)</f>
        <v/>
      </c>
    </row>
    <row r="105">
      <c r="A105" s="8" t="n"/>
      <c r="B105" s="9">
        <f>IF($A105="","",TEXT($A105,"ddd"))</f>
        <v/>
      </c>
      <c r="C105" s="4" t="n"/>
      <c r="D105" s="4" t="n"/>
      <c r="E105" s="4" t="n"/>
      <c r="F105" s="4" t="n"/>
      <c r="G105" s="6" t="n"/>
      <c r="H105" s="11">
        <f>IF($C105="","",IF($C105="Equipment",IFERROR(VLOOKUP($E105,EquipRates,IF(AND($F105&lt;&gt;"",$F105&lt;1),3,2),FALSE),0),IFERROR(VLOOKUP($C105,Trucks,2,FALSE),"")))</f>
        <v/>
      </c>
      <c r="I105" s="11">
        <f>IF($C105="","",CEILING(IF($H105&lt;&gt;"",$H105,IF($G105="",0,$G105))*IF($F105="",1,$F105),RoundInc))</f>
        <v/>
      </c>
      <c r="J105" s="4" t="n"/>
      <c r="K105" s="9">
        <f>IF($C105="","",IF(OR($C105="Truck stock",$C105="Purchase",$C105="Tech expense",$C105="Other"),"Yes","No"))</f>
        <v/>
      </c>
      <c r="L105" s="4" t="n"/>
      <c r="M105" s="9">
        <f>IF($A105="","",COUNTIF($A$2:$A105,$A105))</f>
        <v/>
      </c>
      <c r="N105" s="9">
        <f>IF($A105="","",TEXT($A105,"yyyy-mm-dd")&amp;"#"&amp;$M105)</f>
        <v/>
      </c>
    </row>
    <row r="106">
      <c r="A106" s="8" t="n"/>
      <c r="B106" s="9">
        <f>IF($A106="","",TEXT($A106,"ddd"))</f>
        <v/>
      </c>
      <c r="C106" s="4" t="n"/>
      <c r="D106" s="4" t="n"/>
      <c r="E106" s="4" t="n"/>
      <c r="F106" s="4" t="n"/>
      <c r="G106" s="6" t="n"/>
      <c r="H106" s="11">
        <f>IF($C106="","",IF($C106="Equipment",IFERROR(VLOOKUP($E106,EquipRates,IF(AND($F106&lt;&gt;"",$F106&lt;1),3,2),FALSE),0),IFERROR(VLOOKUP($C106,Trucks,2,FALSE),"")))</f>
        <v/>
      </c>
      <c r="I106" s="11">
        <f>IF($C106="","",CEILING(IF($H106&lt;&gt;"",$H106,IF($G106="",0,$G106))*IF($F106="",1,$F106),RoundInc))</f>
        <v/>
      </c>
      <c r="J106" s="4" t="n"/>
      <c r="K106" s="9">
        <f>IF($C106="","",IF(OR($C106="Truck stock",$C106="Purchase",$C106="Tech expense",$C106="Other"),"Yes","No"))</f>
        <v/>
      </c>
      <c r="L106" s="4" t="n"/>
      <c r="M106" s="9">
        <f>IF($A106="","",COUNTIF($A$2:$A106,$A106))</f>
        <v/>
      </c>
      <c r="N106" s="9">
        <f>IF($A106="","",TEXT($A106,"yyyy-mm-dd")&amp;"#"&amp;$M106)</f>
        <v/>
      </c>
    </row>
    <row r="107">
      <c r="A107" s="8" t="n"/>
      <c r="B107" s="9">
        <f>IF($A107="","",TEXT($A107,"ddd"))</f>
        <v/>
      </c>
      <c r="C107" s="4" t="n"/>
      <c r="D107" s="4" t="n"/>
      <c r="E107" s="4" t="n"/>
      <c r="F107" s="4" t="n"/>
      <c r="G107" s="6" t="n"/>
      <c r="H107" s="11">
        <f>IF($C107="","",IF($C107="Equipment",IFERROR(VLOOKUP($E107,EquipRates,IF(AND($F107&lt;&gt;"",$F107&lt;1),3,2),FALSE),0),IFERROR(VLOOKUP($C107,Trucks,2,FALSE),"")))</f>
        <v/>
      </c>
      <c r="I107" s="11">
        <f>IF($C107="","",CEILING(IF($H107&lt;&gt;"",$H107,IF($G107="",0,$G107))*IF($F107="",1,$F107),RoundInc))</f>
        <v/>
      </c>
      <c r="J107" s="4" t="n"/>
      <c r="K107" s="9">
        <f>IF($C107="","",IF(OR($C107="Truck stock",$C107="Purchase",$C107="Tech expense",$C107="Other"),"Yes","No"))</f>
        <v/>
      </c>
      <c r="L107" s="4" t="n"/>
      <c r="M107" s="9">
        <f>IF($A107="","",COUNTIF($A$2:$A107,$A107))</f>
        <v/>
      </c>
      <c r="N107" s="9">
        <f>IF($A107="","",TEXT($A107,"yyyy-mm-dd")&amp;"#"&amp;$M107)</f>
        <v/>
      </c>
    </row>
    <row r="108">
      <c r="A108" s="8" t="n"/>
      <c r="B108" s="9">
        <f>IF($A108="","",TEXT($A108,"ddd"))</f>
        <v/>
      </c>
      <c r="C108" s="4" t="n"/>
      <c r="D108" s="4" t="n"/>
      <c r="E108" s="4" t="n"/>
      <c r="F108" s="4" t="n"/>
      <c r="G108" s="6" t="n"/>
      <c r="H108" s="11">
        <f>IF($C108="","",IF($C108="Equipment",IFERROR(VLOOKUP($E108,EquipRates,IF(AND($F108&lt;&gt;"",$F108&lt;1),3,2),FALSE),0),IFERROR(VLOOKUP($C108,Trucks,2,FALSE),"")))</f>
        <v/>
      </c>
      <c r="I108" s="11">
        <f>IF($C108="","",CEILING(IF($H108&lt;&gt;"",$H108,IF($G108="",0,$G108))*IF($F108="",1,$F108),RoundInc))</f>
        <v/>
      </c>
      <c r="J108" s="4" t="n"/>
      <c r="K108" s="9">
        <f>IF($C108="","",IF(OR($C108="Truck stock",$C108="Purchase",$C108="Tech expense",$C108="Other"),"Yes","No"))</f>
        <v/>
      </c>
      <c r="L108" s="4" t="n"/>
      <c r="M108" s="9">
        <f>IF($A108="","",COUNTIF($A$2:$A108,$A108))</f>
        <v/>
      </c>
      <c r="N108" s="9">
        <f>IF($A108="","",TEXT($A108,"yyyy-mm-dd")&amp;"#"&amp;$M108)</f>
        <v/>
      </c>
    </row>
    <row r="109">
      <c r="A109" s="8" t="n"/>
      <c r="B109" s="9">
        <f>IF($A109="","",TEXT($A109,"ddd"))</f>
        <v/>
      </c>
      <c r="C109" s="4" t="n"/>
      <c r="D109" s="4" t="n"/>
      <c r="E109" s="4" t="n"/>
      <c r="F109" s="4" t="n"/>
      <c r="G109" s="6" t="n"/>
      <c r="H109" s="11">
        <f>IF($C109="","",IF($C109="Equipment",IFERROR(VLOOKUP($E109,EquipRates,IF(AND($F109&lt;&gt;"",$F109&lt;1),3,2),FALSE),0),IFERROR(VLOOKUP($C109,Trucks,2,FALSE),"")))</f>
        <v/>
      </c>
      <c r="I109" s="11">
        <f>IF($C109="","",CEILING(IF($H109&lt;&gt;"",$H109,IF($G109="",0,$G109))*IF($F109="",1,$F109),RoundInc))</f>
        <v/>
      </c>
      <c r="J109" s="4" t="n"/>
      <c r="K109" s="9">
        <f>IF($C109="","",IF(OR($C109="Truck stock",$C109="Purchase",$C109="Tech expense",$C109="Other"),"Yes","No"))</f>
        <v/>
      </c>
      <c r="L109" s="4" t="n"/>
      <c r="M109" s="9">
        <f>IF($A109="","",COUNTIF($A$2:$A109,$A109))</f>
        <v/>
      </c>
      <c r="N109" s="9">
        <f>IF($A109="","",TEXT($A109,"yyyy-mm-dd")&amp;"#"&amp;$M109)</f>
        <v/>
      </c>
    </row>
    <row r="110">
      <c r="A110" s="8" t="n"/>
      <c r="B110" s="9">
        <f>IF($A110="","",TEXT($A110,"ddd"))</f>
        <v/>
      </c>
      <c r="C110" s="4" t="n"/>
      <c r="D110" s="4" t="n"/>
      <c r="E110" s="4" t="n"/>
      <c r="F110" s="4" t="n"/>
      <c r="G110" s="6" t="n"/>
      <c r="H110" s="11">
        <f>IF($C110="","",IF($C110="Equipment",IFERROR(VLOOKUP($E110,EquipRates,IF(AND($F110&lt;&gt;"",$F110&lt;1),3,2),FALSE),0),IFERROR(VLOOKUP($C110,Trucks,2,FALSE),"")))</f>
        <v/>
      </c>
      <c r="I110" s="11">
        <f>IF($C110="","",CEILING(IF($H110&lt;&gt;"",$H110,IF($G110="",0,$G110))*IF($F110="",1,$F110),RoundInc))</f>
        <v/>
      </c>
      <c r="J110" s="4" t="n"/>
      <c r="K110" s="9">
        <f>IF($C110="","",IF(OR($C110="Truck stock",$C110="Purchase",$C110="Tech expense",$C110="Other"),"Yes","No"))</f>
        <v/>
      </c>
      <c r="L110" s="4" t="n"/>
      <c r="M110" s="9">
        <f>IF($A110="","",COUNTIF($A$2:$A110,$A110))</f>
        <v/>
      </c>
      <c r="N110" s="9">
        <f>IF($A110="","",TEXT($A110,"yyyy-mm-dd")&amp;"#"&amp;$M110)</f>
        <v/>
      </c>
    </row>
    <row r="111">
      <c r="A111" s="8" t="n"/>
      <c r="B111" s="9">
        <f>IF($A111="","",TEXT($A111,"ddd"))</f>
        <v/>
      </c>
      <c r="C111" s="4" t="n"/>
      <c r="D111" s="4" t="n"/>
      <c r="E111" s="4" t="n"/>
      <c r="F111" s="4" t="n"/>
      <c r="G111" s="6" t="n"/>
      <c r="H111" s="11">
        <f>IF($C111="","",IF($C111="Equipment",IFERROR(VLOOKUP($E111,EquipRates,IF(AND($F111&lt;&gt;"",$F111&lt;1),3,2),FALSE),0),IFERROR(VLOOKUP($C111,Trucks,2,FALSE),"")))</f>
        <v/>
      </c>
      <c r="I111" s="11">
        <f>IF($C111="","",CEILING(IF($H111&lt;&gt;"",$H111,IF($G111="",0,$G111))*IF($F111="",1,$F111),RoundInc))</f>
        <v/>
      </c>
      <c r="J111" s="4" t="n"/>
      <c r="K111" s="9">
        <f>IF($C111="","",IF(OR($C111="Truck stock",$C111="Purchase",$C111="Tech expense",$C111="Other"),"Yes","No"))</f>
        <v/>
      </c>
      <c r="L111" s="4" t="n"/>
      <c r="M111" s="9">
        <f>IF($A111="","",COUNTIF($A$2:$A111,$A111))</f>
        <v/>
      </c>
      <c r="N111" s="9">
        <f>IF($A111="","",TEXT($A111,"yyyy-mm-dd")&amp;"#"&amp;$M111)</f>
        <v/>
      </c>
    </row>
    <row r="112">
      <c r="A112" s="8" t="n"/>
      <c r="B112" s="9">
        <f>IF($A112="","",TEXT($A112,"ddd"))</f>
        <v/>
      </c>
      <c r="C112" s="4" t="n"/>
      <c r="D112" s="4" t="n"/>
      <c r="E112" s="4" t="n"/>
      <c r="F112" s="4" t="n"/>
      <c r="G112" s="6" t="n"/>
      <c r="H112" s="11">
        <f>IF($C112="","",IF($C112="Equipment",IFERROR(VLOOKUP($E112,EquipRates,IF(AND($F112&lt;&gt;"",$F112&lt;1),3,2),FALSE),0),IFERROR(VLOOKUP($C112,Trucks,2,FALSE),"")))</f>
        <v/>
      </c>
      <c r="I112" s="11">
        <f>IF($C112="","",CEILING(IF($H112&lt;&gt;"",$H112,IF($G112="",0,$G112))*IF($F112="",1,$F112),RoundInc))</f>
        <v/>
      </c>
      <c r="J112" s="4" t="n"/>
      <c r="K112" s="9">
        <f>IF($C112="","",IF(OR($C112="Truck stock",$C112="Purchase",$C112="Tech expense",$C112="Other"),"Yes","No"))</f>
        <v/>
      </c>
      <c r="L112" s="4" t="n"/>
      <c r="M112" s="9">
        <f>IF($A112="","",COUNTIF($A$2:$A112,$A112))</f>
        <v/>
      </c>
      <c r="N112" s="9">
        <f>IF($A112="","",TEXT($A112,"yyyy-mm-dd")&amp;"#"&amp;$M112)</f>
        <v/>
      </c>
    </row>
    <row r="113">
      <c r="A113" s="8" t="n"/>
      <c r="B113" s="9">
        <f>IF($A113="","",TEXT($A113,"ddd"))</f>
        <v/>
      </c>
      <c r="C113" s="4" t="n"/>
      <c r="D113" s="4" t="n"/>
      <c r="E113" s="4" t="n"/>
      <c r="F113" s="4" t="n"/>
      <c r="G113" s="6" t="n"/>
      <c r="H113" s="11">
        <f>IF($C113="","",IF($C113="Equipment",IFERROR(VLOOKUP($E113,EquipRates,IF(AND($F113&lt;&gt;"",$F113&lt;1),3,2),FALSE),0),IFERROR(VLOOKUP($C113,Trucks,2,FALSE),"")))</f>
        <v/>
      </c>
      <c r="I113" s="11">
        <f>IF($C113="","",CEILING(IF($H113&lt;&gt;"",$H113,IF($G113="",0,$G113))*IF($F113="",1,$F113),RoundInc))</f>
        <v/>
      </c>
      <c r="J113" s="4" t="n"/>
      <c r="K113" s="9">
        <f>IF($C113="","",IF(OR($C113="Truck stock",$C113="Purchase",$C113="Tech expense",$C113="Other"),"Yes","No"))</f>
        <v/>
      </c>
      <c r="L113" s="4" t="n"/>
      <c r="M113" s="9">
        <f>IF($A113="","",COUNTIF($A$2:$A113,$A113))</f>
        <v/>
      </c>
      <c r="N113" s="9">
        <f>IF($A113="","",TEXT($A113,"yyyy-mm-dd")&amp;"#"&amp;$M113)</f>
        <v/>
      </c>
    </row>
    <row r="114">
      <c r="A114" s="8" t="n"/>
      <c r="B114" s="9">
        <f>IF($A114="","",TEXT($A114,"ddd"))</f>
        <v/>
      </c>
      <c r="C114" s="4" t="n"/>
      <c r="D114" s="4" t="n"/>
      <c r="E114" s="4" t="n"/>
      <c r="F114" s="4" t="n"/>
      <c r="G114" s="6" t="n"/>
      <c r="H114" s="11">
        <f>IF($C114="","",IF($C114="Equipment",IFERROR(VLOOKUP($E114,EquipRates,IF(AND($F114&lt;&gt;"",$F114&lt;1),3,2),FALSE),0),IFERROR(VLOOKUP($C114,Trucks,2,FALSE),"")))</f>
        <v/>
      </c>
      <c r="I114" s="11">
        <f>IF($C114="","",CEILING(IF($H114&lt;&gt;"",$H114,IF($G114="",0,$G114))*IF($F114="",1,$F114),RoundInc))</f>
        <v/>
      </c>
      <c r="J114" s="4" t="n"/>
      <c r="K114" s="9">
        <f>IF($C114="","",IF(OR($C114="Truck stock",$C114="Purchase",$C114="Tech expense",$C114="Other"),"Yes","No"))</f>
        <v/>
      </c>
      <c r="L114" s="4" t="n"/>
      <c r="M114" s="9">
        <f>IF($A114="","",COUNTIF($A$2:$A114,$A114))</f>
        <v/>
      </c>
      <c r="N114" s="9">
        <f>IF($A114="","",TEXT($A114,"yyyy-mm-dd")&amp;"#"&amp;$M114)</f>
        <v/>
      </c>
    </row>
    <row r="115">
      <c r="A115" s="8" t="n"/>
      <c r="B115" s="9">
        <f>IF($A115="","",TEXT($A115,"ddd"))</f>
        <v/>
      </c>
      <c r="C115" s="4" t="n"/>
      <c r="D115" s="4" t="n"/>
      <c r="E115" s="4" t="n"/>
      <c r="F115" s="4" t="n"/>
      <c r="G115" s="6" t="n"/>
      <c r="H115" s="11">
        <f>IF($C115="","",IF($C115="Equipment",IFERROR(VLOOKUP($E115,EquipRates,IF(AND($F115&lt;&gt;"",$F115&lt;1),3,2),FALSE),0),IFERROR(VLOOKUP($C115,Trucks,2,FALSE),"")))</f>
        <v/>
      </c>
      <c r="I115" s="11">
        <f>IF($C115="","",CEILING(IF($H115&lt;&gt;"",$H115,IF($G115="",0,$G115))*IF($F115="",1,$F115),RoundInc))</f>
        <v/>
      </c>
      <c r="J115" s="4" t="n"/>
      <c r="K115" s="9">
        <f>IF($C115="","",IF(OR($C115="Truck stock",$C115="Purchase",$C115="Tech expense",$C115="Other"),"Yes","No"))</f>
        <v/>
      </c>
      <c r="L115" s="4" t="n"/>
      <c r="M115" s="9">
        <f>IF($A115="","",COUNTIF($A$2:$A115,$A115))</f>
        <v/>
      </c>
      <c r="N115" s="9">
        <f>IF($A115="","",TEXT($A115,"yyyy-mm-dd")&amp;"#"&amp;$M115)</f>
        <v/>
      </c>
    </row>
    <row r="116">
      <c r="A116" s="8" t="n"/>
      <c r="B116" s="9">
        <f>IF($A116="","",TEXT($A116,"ddd"))</f>
        <v/>
      </c>
      <c r="C116" s="4" t="n"/>
      <c r="D116" s="4" t="n"/>
      <c r="E116" s="4" t="n"/>
      <c r="F116" s="4" t="n"/>
      <c r="G116" s="6" t="n"/>
      <c r="H116" s="11">
        <f>IF($C116="","",IF($C116="Equipment",IFERROR(VLOOKUP($E116,EquipRates,IF(AND($F116&lt;&gt;"",$F116&lt;1),3,2),FALSE),0),IFERROR(VLOOKUP($C116,Trucks,2,FALSE),"")))</f>
        <v/>
      </c>
      <c r="I116" s="11">
        <f>IF($C116="","",CEILING(IF($H116&lt;&gt;"",$H116,IF($G116="",0,$G116))*IF($F116="",1,$F116),RoundInc))</f>
        <v/>
      </c>
      <c r="J116" s="4" t="n"/>
      <c r="K116" s="9">
        <f>IF($C116="","",IF(OR($C116="Truck stock",$C116="Purchase",$C116="Tech expense",$C116="Other"),"Yes","No"))</f>
        <v/>
      </c>
      <c r="L116" s="4" t="n"/>
      <c r="M116" s="9">
        <f>IF($A116="","",COUNTIF($A$2:$A116,$A116))</f>
        <v/>
      </c>
      <c r="N116" s="9">
        <f>IF($A116="","",TEXT($A116,"yyyy-mm-dd")&amp;"#"&amp;$M116)</f>
        <v/>
      </c>
    </row>
    <row r="117">
      <c r="A117" s="8" t="n"/>
      <c r="B117" s="9">
        <f>IF($A117="","",TEXT($A117,"ddd"))</f>
        <v/>
      </c>
      <c r="C117" s="4" t="n"/>
      <c r="D117" s="4" t="n"/>
      <c r="E117" s="4" t="n"/>
      <c r="F117" s="4" t="n"/>
      <c r="G117" s="6" t="n"/>
      <c r="H117" s="11">
        <f>IF($C117="","",IF($C117="Equipment",IFERROR(VLOOKUP($E117,EquipRates,IF(AND($F117&lt;&gt;"",$F117&lt;1),3,2),FALSE),0),IFERROR(VLOOKUP($C117,Trucks,2,FALSE),"")))</f>
        <v/>
      </c>
      <c r="I117" s="11">
        <f>IF($C117="","",CEILING(IF($H117&lt;&gt;"",$H117,IF($G117="",0,$G117))*IF($F117="",1,$F117),RoundInc))</f>
        <v/>
      </c>
      <c r="J117" s="4" t="n"/>
      <c r="K117" s="9">
        <f>IF($C117="","",IF(OR($C117="Truck stock",$C117="Purchase",$C117="Tech expense",$C117="Other"),"Yes","No"))</f>
        <v/>
      </c>
      <c r="L117" s="4" t="n"/>
      <c r="M117" s="9">
        <f>IF($A117="","",COUNTIF($A$2:$A117,$A117))</f>
        <v/>
      </c>
      <c r="N117" s="9">
        <f>IF($A117="","",TEXT($A117,"yyyy-mm-dd")&amp;"#"&amp;$M117)</f>
        <v/>
      </c>
    </row>
    <row r="118">
      <c r="A118" s="8" t="n"/>
      <c r="B118" s="9">
        <f>IF($A118="","",TEXT($A118,"ddd"))</f>
        <v/>
      </c>
      <c r="C118" s="4" t="n"/>
      <c r="D118" s="4" t="n"/>
      <c r="E118" s="4" t="n"/>
      <c r="F118" s="4" t="n"/>
      <c r="G118" s="6" t="n"/>
      <c r="H118" s="11">
        <f>IF($C118="","",IF($C118="Equipment",IFERROR(VLOOKUP($E118,EquipRates,IF(AND($F118&lt;&gt;"",$F118&lt;1),3,2),FALSE),0),IFERROR(VLOOKUP($C118,Trucks,2,FALSE),"")))</f>
        <v/>
      </c>
      <c r="I118" s="11">
        <f>IF($C118="","",CEILING(IF($H118&lt;&gt;"",$H118,IF($G118="",0,$G118))*IF($F118="",1,$F118),RoundInc))</f>
        <v/>
      </c>
      <c r="J118" s="4" t="n"/>
      <c r="K118" s="9">
        <f>IF($C118="","",IF(OR($C118="Truck stock",$C118="Purchase",$C118="Tech expense",$C118="Other"),"Yes","No"))</f>
        <v/>
      </c>
      <c r="L118" s="4" t="n"/>
      <c r="M118" s="9">
        <f>IF($A118="","",COUNTIF($A$2:$A118,$A118))</f>
        <v/>
      </c>
      <c r="N118" s="9">
        <f>IF($A118="","",TEXT($A118,"yyyy-mm-dd")&amp;"#"&amp;$M118)</f>
        <v/>
      </c>
    </row>
    <row r="119">
      <c r="A119" s="8" t="n"/>
      <c r="B119" s="9">
        <f>IF($A119="","",TEXT($A119,"ddd"))</f>
        <v/>
      </c>
      <c r="C119" s="4" t="n"/>
      <c r="D119" s="4" t="n"/>
      <c r="E119" s="4" t="n"/>
      <c r="F119" s="4" t="n"/>
      <c r="G119" s="6" t="n"/>
      <c r="H119" s="11">
        <f>IF($C119="","",IF($C119="Equipment",IFERROR(VLOOKUP($E119,EquipRates,IF(AND($F119&lt;&gt;"",$F119&lt;1),3,2),FALSE),0),IFERROR(VLOOKUP($C119,Trucks,2,FALSE),"")))</f>
        <v/>
      </c>
      <c r="I119" s="11">
        <f>IF($C119="","",CEILING(IF($H119&lt;&gt;"",$H119,IF($G119="",0,$G119))*IF($F119="",1,$F119),RoundInc))</f>
        <v/>
      </c>
      <c r="J119" s="4" t="n"/>
      <c r="K119" s="9">
        <f>IF($C119="","",IF(OR($C119="Truck stock",$C119="Purchase",$C119="Tech expense",$C119="Other"),"Yes","No"))</f>
        <v/>
      </c>
      <c r="L119" s="4" t="n"/>
      <c r="M119" s="9">
        <f>IF($A119="","",COUNTIF($A$2:$A119,$A119))</f>
        <v/>
      </c>
      <c r="N119" s="9">
        <f>IF($A119="","",TEXT($A119,"yyyy-mm-dd")&amp;"#"&amp;$M119)</f>
        <v/>
      </c>
    </row>
    <row r="120">
      <c r="A120" s="8" t="n"/>
      <c r="B120" s="9">
        <f>IF($A120="","",TEXT($A120,"ddd"))</f>
        <v/>
      </c>
      <c r="C120" s="4" t="n"/>
      <c r="D120" s="4" t="n"/>
      <c r="E120" s="4" t="n"/>
      <c r="F120" s="4" t="n"/>
      <c r="G120" s="6" t="n"/>
      <c r="H120" s="11">
        <f>IF($C120="","",IF($C120="Equipment",IFERROR(VLOOKUP($E120,EquipRates,IF(AND($F120&lt;&gt;"",$F120&lt;1),3,2),FALSE),0),IFERROR(VLOOKUP($C120,Trucks,2,FALSE),"")))</f>
        <v/>
      </c>
      <c r="I120" s="11">
        <f>IF($C120="","",CEILING(IF($H120&lt;&gt;"",$H120,IF($G120="",0,$G120))*IF($F120="",1,$F120),RoundInc))</f>
        <v/>
      </c>
      <c r="J120" s="4" t="n"/>
      <c r="K120" s="9">
        <f>IF($C120="","",IF(OR($C120="Truck stock",$C120="Purchase",$C120="Tech expense",$C120="Other"),"Yes","No"))</f>
        <v/>
      </c>
      <c r="L120" s="4" t="n"/>
      <c r="M120" s="9">
        <f>IF($A120="","",COUNTIF($A$2:$A120,$A120))</f>
        <v/>
      </c>
      <c r="N120" s="9">
        <f>IF($A120="","",TEXT($A120,"yyyy-mm-dd")&amp;"#"&amp;$M120)</f>
        <v/>
      </c>
    </row>
    <row r="121">
      <c r="A121" s="8" t="n"/>
      <c r="B121" s="9">
        <f>IF($A121="","",TEXT($A121,"ddd"))</f>
        <v/>
      </c>
      <c r="C121" s="4" t="n"/>
      <c r="D121" s="4" t="n"/>
      <c r="E121" s="4" t="n"/>
      <c r="F121" s="4" t="n"/>
      <c r="G121" s="6" t="n"/>
      <c r="H121" s="11">
        <f>IF($C121="","",IF($C121="Equipment",IFERROR(VLOOKUP($E121,EquipRates,IF(AND($F121&lt;&gt;"",$F121&lt;1),3,2),FALSE),0),IFERROR(VLOOKUP($C121,Trucks,2,FALSE),"")))</f>
        <v/>
      </c>
      <c r="I121" s="11">
        <f>IF($C121="","",CEILING(IF($H121&lt;&gt;"",$H121,IF($G121="",0,$G121))*IF($F121="",1,$F121),RoundInc))</f>
        <v/>
      </c>
      <c r="J121" s="4" t="n"/>
      <c r="K121" s="9">
        <f>IF($C121="","",IF(OR($C121="Truck stock",$C121="Purchase",$C121="Tech expense",$C121="Other"),"Yes","No"))</f>
        <v/>
      </c>
      <c r="L121" s="4" t="n"/>
      <c r="M121" s="9">
        <f>IF($A121="","",COUNTIF($A$2:$A121,$A121))</f>
        <v/>
      </c>
      <c r="N121" s="9">
        <f>IF($A121="","",TEXT($A121,"yyyy-mm-dd")&amp;"#"&amp;$M121)</f>
        <v/>
      </c>
    </row>
    <row r="122">
      <c r="A122" s="8" t="n"/>
      <c r="B122" s="9">
        <f>IF($A122="","",TEXT($A122,"ddd"))</f>
        <v/>
      </c>
      <c r="C122" s="4" t="n"/>
      <c r="D122" s="4" t="n"/>
      <c r="E122" s="4" t="n"/>
      <c r="F122" s="4" t="n"/>
      <c r="G122" s="6" t="n"/>
      <c r="H122" s="11">
        <f>IF($C122="","",IF($C122="Equipment",IFERROR(VLOOKUP($E122,EquipRates,IF(AND($F122&lt;&gt;"",$F122&lt;1),3,2),FALSE),0),IFERROR(VLOOKUP($C122,Trucks,2,FALSE),"")))</f>
        <v/>
      </c>
      <c r="I122" s="11">
        <f>IF($C122="","",CEILING(IF($H122&lt;&gt;"",$H122,IF($G122="",0,$G122))*IF($F122="",1,$F122),RoundInc))</f>
        <v/>
      </c>
      <c r="J122" s="4" t="n"/>
      <c r="K122" s="9">
        <f>IF($C122="","",IF(OR($C122="Truck stock",$C122="Purchase",$C122="Tech expense",$C122="Other"),"Yes","No"))</f>
        <v/>
      </c>
      <c r="L122" s="4" t="n"/>
      <c r="M122" s="9">
        <f>IF($A122="","",COUNTIF($A$2:$A122,$A122))</f>
        <v/>
      </c>
      <c r="N122" s="9">
        <f>IF($A122="","",TEXT($A122,"yyyy-mm-dd")&amp;"#"&amp;$M122)</f>
        <v/>
      </c>
    </row>
    <row r="123">
      <c r="A123" s="8" t="n"/>
      <c r="B123" s="9">
        <f>IF($A123="","",TEXT($A123,"ddd"))</f>
        <v/>
      </c>
      <c r="C123" s="4" t="n"/>
      <c r="D123" s="4" t="n"/>
      <c r="E123" s="4" t="n"/>
      <c r="F123" s="4" t="n"/>
      <c r="G123" s="6" t="n"/>
      <c r="H123" s="11">
        <f>IF($C123="","",IF($C123="Equipment",IFERROR(VLOOKUP($E123,EquipRates,IF(AND($F123&lt;&gt;"",$F123&lt;1),3,2),FALSE),0),IFERROR(VLOOKUP($C123,Trucks,2,FALSE),"")))</f>
        <v/>
      </c>
      <c r="I123" s="11">
        <f>IF($C123="","",CEILING(IF($H123&lt;&gt;"",$H123,IF($G123="",0,$G123))*IF($F123="",1,$F123),RoundInc))</f>
        <v/>
      </c>
      <c r="J123" s="4" t="n"/>
      <c r="K123" s="9">
        <f>IF($C123="","",IF(OR($C123="Truck stock",$C123="Purchase",$C123="Tech expense",$C123="Other"),"Yes","No"))</f>
        <v/>
      </c>
      <c r="L123" s="4" t="n"/>
      <c r="M123" s="9">
        <f>IF($A123="","",COUNTIF($A$2:$A123,$A123))</f>
        <v/>
      </c>
      <c r="N123" s="9">
        <f>IF($A123="","",TEXT($A123,"yyyy-mm-dd")&amp;"#"&amp;$M123)</f>
        <v/>
      </c>
    </row>
    <row r="124">
      <c r="A124" s="8" t="n"/>
      <c r="B124" s="9">
        <f>IF($A124="","",TEXT($A124,"ddd"))</f>
        <v/>
      </c>
      <c r="C124" s="4" t="n"/>
      <c r="D124" s="4" t="n"/>
      <c r="E124" s="4" t="n"/>
      <c r="F124" s="4" t="n"/>
      <c r="G124" s="6" t="n"/>
      <c r="H124" s="11">
        <f>IF($C124="","",IF($C124="Equipment",IFERROR(VLOOKUP($E124,EquipRates,IF(AND($F124&lt;&gt;"",$F124&lt;1),3,2),FALSE),0),IFERROR(VLOOKUP($C124,Trucks,2,FALSE),"")))</f>
        <v/>
      </c>
      <c r="I124" s="11">
        <f>IF($C124="","",CEILING(IF($H124&lt;&gt;"",$H124,IF($G124="",0,$G124))*IF($F124="",1,$F124),RoundInc))</f>
        <v/>
      </c>
      <c r="J124" s="4" t="n"/>
      <c r="K124" s="9">
        <f>IF($C124="","",IF(OR($C124="Truck stock",$C124="Purchase",$C124="Tech expense",$C124="Other"),"Yes","No"))</f>
        <v/>
      </c>
      <c r="L124" s="4" t="n"/>
      <c r="M124" s="9">
        <f>IF($A124="","",COUNTIF($A$2:$A124,$A124))</f>
        <v/>
      </c>
      <c r="N124" s="9">
        <f>IF($A124="","",TEXT($A124,"yyyy-mm-dd")&amp;"#"&amp;$M124)</f>
        <v/>
      </c>
    </row>
    <row r="125">
      <c r="A125" s="8" t="n"/>
      <c r="B125" s="9">
        <f>IF($A125="","",TEXT($A125,"ddd"))</f>
        <v/>
      </c>
      <c r="C125" s="4" t="n"/>
      <c r="D125" s="4" t="n"/>
      <c r="E125" s="4" t="n"/>
      <c r="F125" s="4" t="n"/>
      <c r="G125" s="6" t="n"/>
      <c r="H125" s="11">
        <f>IF($C125="","",IF($C125="Equipment",IFERROR(VLOOKUP($E125,EquipRates,IF(AND($F125&lt;&gt;"",$F125&lt;1),3,2),FALSE),0),IFERROR(VLOOKUP($C125,Trucks,2,FALSE),"")))</f>
        <v/>
      </c>
      <c r="I125" s="11">
        <f>IF($C125="","",CEILING(IF($H125&lt;&gt;"",$H125,IF($G125="",0,$G125))*IF($F125="",1,$F125),RoundInc))</f>
        <v/>
      </c>
      <c r="J125" s="4" t="n"/>
      <c r="K125" s="9">
        <f>IF($C125="","",IF(OR($C125="Truck stock",$C125="Purchase",$C125="Tech expense",$C125="Other"),"Yes","No"))</f>
        <v/>
      </c>
      <c r="L125" s="4" t="n"/>
      <c r="M125" s="9">
        <f>IF($A125="","",COUNTIF($A$2:$A125,$A125))</f>
        <v/>
      </c>
      <c r="N125" s="9">
        <f>IF($A125="","",TEXT($A125,"yyyy-mm-dd")&amp;"#"&amp;$M125)</f>
        <v/>
      </c>
    </row>
    <row r="126">
      <c r="A126" s="8" t="n"/>
      <c r="B126" s="9">
        <f>IF($A126="","",TEXT($A126,"ddd"))</f>
        <v/>
      </c>
      <c r="C126" s="4" t="n"/>
      <c r="D126" s="4" t="n"/>
      <c r="E126" s="4" t="n"/>
      <c r="F126" s="4" t="n"/>
      <c r="G126" s="6" t="n"/>
      <c r="H126" s="11">
        <f>IF($C126="","",IF($C126="Equipment",IFERROR(VLOOKUP($E126,EquipRates,IF(AND($F126&lt;&gt;"",$F126&lt;1),3,2),FALSE),0),IFERROR(VLOOKUP($C126,Trucks,2,FALSE),"")))</f>
        <v/>
      </c>
      <c r="I126" s="11">
        <f>IF($C126="","",CEILING(IF($H126&lt;&gt;"",$H126,IF($G126="",0,$G126))*IF($F126="",1,$F126),RoundInc))</f>
        <v/>
      </c>
      <c r="J126" s="4" t="n"/>
      <c r="K126" s="9">
        <f>IF($C126="","",IF(OR($C126="Truck stock",$C126="Purchase",$C126="Tech expense",$C126="Other"),"Yes","No"))</f>
        <v/>
      </c>
      <c r="L126" s="4" t="n"/>
      <c r="M126" s="9">
        <f>IF($A126="","",COUNTIF($A$2:$A126,$A126))</f>
        <v/>
      </c>
      <c r="N126" s="9">
        <f>IF($A126="","",TEXT($A126,"yyyy-mm-dd")&amp;"#"&amp;$M126)</f>
        <v/>
      </c>
    </row>
    <row r="127">
      <c r="A127" s="8" t="n"/>
      <c r="B127" s="9">
        <f>IF($A127="","",TEXT($A127,"ddd"))</f>
        <v/>
      </c>
      <c r="C127" s="4" t="n"/>
      <c r="D127" s="4" t="n"/>
      <c r="E127" s="4" t="n"/>
      <c r="F127" s="4" t="n"/>
      <c r="G127" s="6" t="n"/>
      <c r="H127" s="11">
        <f>IF($C127="","",IF($C127="Equipment",IFERROR(VLOOKUP($E127,EquipRates,IF(AND($F127&lt;&gt;"",$F127&lt;1),3,2),FALSE),0),IFERROR(VLOOKUP($C127,Trucks,2,FALSE),"")))</f>
        <v/>
      </c>
      <c r="I127" s="11">
        <f>IF($C127="","",CEILING(IF($H127&lt;&gt;"",$H127,IF($G127="",0,$G127))*IF($F127="",1,$F127),RoundInc))</f>
        <v/>
      </c>
      <c r="J127" s="4" t="n"/>
      <c r="K127" s="9">
        <f>IF($C127="","",IF(OR($C127="Truck stock",$C127="Purchase",$C127="Tech expense",$C127="Other"),"Yes","No"))</f>
        <v/>
      </c>
      <c r="L127" s="4" t="n"/>
      <c r="M127" s="9">
        <f>IF($A127="","",COUNTIF($A$2:$A127,$A127))</f>
        <v/>
      </c>
      <c r="N127" s="9">
        <f>IF($A127="","",TEXT($A127,"yyyy-mm-dd")&amp;"#"&amp;$M127)</f>
        <v/>
      </c>
    </row>
    <row r="128">
      <c r="A128" s="8" t="n"/>
      <c r="B128" s="9">
        <f>IF($A128="","",TEXT($A128,"ddd"))</f>
        <v/>
      </c>
      <c r="C128" s="4" t="n"/>
      <c r="D128" s="4" t="n"/>
      <c r="E128" s="4" t="n"/>
      <c r="F128" s="4" t="n"/>
      <c r="G128" s="6" t="n"/>
      <c r="H128" s="11">
        <f>IF($C128="","",IF($C128="Equipment",IFERROR(VLOOKUP($E128,EquipRates,IF(AND($F128&lt;&gt;"",$F128&lt;1),3,2),FALSE),0),IFERROR(VLOOKUP($C128,Trucks,2,FALSE),"")))</f>
        <v/>
      </c>
      <c r="I128" s="11">
        <f>IF($C128="","",CEILING(IF($H128&lt;&gt;"",$H128,IF($G128="",0,$G128))*IF($F128="",1,$F128),RoundInc))</f>
        <v/>
      </c>
      <c r="J128" s="4" t="n"/>
      <c r="K128" s="9">
        <f>IF($C128="","",IF(OR($C128="Truck stock",$C128="Purchase",$C128="Tech expense",$C128="Other"),"Yes","No"))</f>
        <v/>
      </c>
      <c r="L128" s="4" t="n"/>
      <c r="M128" s="9">
        <f>IF($A128="","",COUNTIF($A$2:$A128,$A128))</f>
        <v/>
      </c>
      <c r="N128" s="9">
        <f>IF($A128="","",TEXT($A128,"yyyy-mm-dd")&amp;"#"&amp;$M128)</f>
        <v/>
      </c>
    </row>
    <row r="129">
      <c r="A129" s="8" t="n"/>
      <c r="B129" s="9">
        <f>IF($A129="","",TEXT($A129,"ddd"))</f>
        <v/>
      </c>
      <c r="C129" s="4" t="n"/>
      <c r="D129" s="4" t="n"/>
      <c r="E129" s="4" t="n"/>
      <c r="F129" s="4" t="n"/>
      <c r="G129" s="6" t="n"/>
      <c r="H129" s="11">
        <f>IF($C129="","",IF($C129="Equipment",IFERROR(VLOOKUP($E129,EquipRates,IF(AND($F129&lt;&gt;"",$F129&lt;1),3,2),FALSE),0),IFERROR(VLOOKUP($C129,Trucks,2,FALSE),"")))</f>
        <v/>
      </c>
      <c r="I129" s="11">
        <f>IF($C129="","",CEILING(IF($H129&lt;&gt;"",$H129,IF($G129="",0,$G129))*IF($F129="",1,$F129),RoundInc))</f>
        <v/>
      </c>
      <c r="J129" s="4" t="n"/>
      <c r="K129" s="9">
        <f>IF($C129="","",IF(OR($C129="Truck stock",$C129="Purchase",$C129="Tech expense",$C129="Other"),"Yes","No"))</f>
        <v/>
      </c>
      <c r="L129" s="4" t="n"/>
      <c r="M129" s="9">
        <f>IF($A129="","",COUNTIF($A$2:$A129,$A129))</f>
        <v/>
      </c>
      <c r="N129" s="9">
        <f>IF($A129="","",TEXT($A129,"yyyy-mm-dd")&amp;"#"&amp;$M129)</f>
        <v/>
      </c>
    </row>
    <row r="130">
      <c r="A130" s="8" t="n"/>
      <c r="B130" s="9">
        <f>IF($A130="","",TEXT($A130,"ddd"))</f>
        <v/>
      </c>
      <c r="C130" s="4" t="n"/>
      <c r="D130" s="4" t="n"/>
      <c r="E130" s="4" t="n"/>
      <c r="F130" s="4" t="n"/>
      <c r="G130" s="6" t="n"/>
      <c r="H130" s="11">
        <f>IF($C130="","",IF($C130="Equipment",IFERROR(VLOOKUP($E130,EquipRates,IF(AND($F130&lt;&gt;"",$F130&lt;1),3,2),FALSE),0),IFERROR(VLOOKUP($C130,Trucks,2,FALSE),"")))</f>
        <v/>
      </c>
      <c r="I130" s="11">
        <f>IF($C130="","",CEILING(IF($H130&lt;&gt;"",$H130,IF($G130="",0,$G130))*IF($F130="",1,$F130),RoundInc))</f>
        <v/>
      </c>
      <c r="J130" s="4" t="n"/>
      <c r="K130" s="9">
        <f>IF($C130="","",IF(OR($C130="Truck stock",$C130="Purchase",$C130="Tech expense",$C130="Other"),"Yes","No"))</f>
        <v/>
      </c>
      <c r="L130" s="4" t="n"/>
      <c r="M130" s="9">
        <f>IF($A130="","",COUNTIF($A$2:$A130,$A130))</f>
        <v/>
      </c>
      <c r="N130" s="9">
        <f>IF($A130="","",TEXT($A130,"yyyy-mm-dd")&amp;"#"&amp;$M130)</f>
        <v/>
      </c>
    </row>
    <row r="131">
      <c r="A131" s="8" t="n"/>
      <c r="B131" s="9">
        <f>IF($A131="","",TEXT($A131,"ddd"))</f>
        <v/>
      </c>
      <c r="C131" s="4" t="n"/>
      <c r="D131" s="4" t="n"/>
      <c r="E131" s="4" t="n"/>
      <c r="F131" s="4" t="n"/>
      <c r="G131" s="6" t="n"/>
      <c r="H131" s="11">
        <f>IF($C131="","",IF($C131="Equipment",IFERROR(VLOOKUP($E131,EquipRates,IF(AND($F131&lt;&gt;"",$F131&lt;1),3,2),FALSE),0),IFERROR(VLOOKUP($C131,Trucks,2,FALSE),"")))</f>
        <v/>
      </c>
      <c r="I131" s="11">
        <f>IF($C131="","",CEILING(IF($H131&lt;&gt;"",$H131,IF($G131="",0,$G131))*IF($F131="",1,$F131),RoundInc))</f>
        <v/>
      </c>
      <c r="J131" s="4" t="n"/>
      <c r="K131" s="9">
        <f>IF($C131="","",IF(OR($C131="Truck stock",$C131="Purchase",$C131="Tech expense",$C131="Other"),"Yes","No"))</f>
        <v/>
      </c>
      <c r="L131" s="4" t="n"/>
      <c r="M131" s="9">
        <f>IF($A131="","",COUNTIF($A$2:$A131,$A131))</f>
        <v/>
      </c>
      <c r="N131" s="9">
        <f>IF($A131="","",TEXT($A131,"yyyy-mm-dd")&amp;"#"&amp;$M131)</f>
        <v/>
      </c>
    </row>
    <row r="132">
      <c r="A132" s="8" t="n"/>
      <c r="B132" s="9">
        <f>IF($A132="","",TEXT($A132,"ddd"))</f>
        <v/>
      </c>
      <c r="C132" s="4" t="n"/>
      <c r="D132" s="4" t="n"/>
      <c r="E132" s="4" t="n"/>
      <c r="F132" s="4" t="n"/>
      <c r="G132" s="6" t="n"/>
      <c r="H132" s="11">
        <f>IF($C132="","",IF($C132="Equipment",IFERROR(VLOOKUP($E132,EquipRates,IF(AND($F132&lt;&gt;"",$F132&lt;1),3,2),FALSE),0),IFERROR(VLOOKUP($C132,Trucks,2,FALSE),"")))</f>
        <v/>
      </c>
      <c r="I132" s="11">
        <f>IF($C132="","",CEILING(IF($H132&lt;&gt;"",$H132,IF($G132="",0,$G132))*IF($F132="",1,$F132),RoundInc))</f>
        <v/>
      </c>
      <c r="J132" s="4" t="n"/>
      <c r="K132" s="9">
        <f>IF($C132="","",IF(OR($C132="Truck stock",$C132="Purchase",$C132="Tech expense",$C132="Other"),"Yes","No"))</f>
        <v/>
      </c>
      <c r="L132" s="4" t="n"/>
      <c r="M132" s="9">
        <f>IF($A132="","",COUNTIF($A$2:$A132,$A132))</f>
        <v/>
      </c>
      <c r="N132" s="9">
        <f>IF($A132="","",TEXT($A132,"yyyy-mm-dd")&amp;"#"&amp;$M132)</f>
        <v/>
      </c>
    </row>
    <row r="133">
      <c r="A133" s="8" t="n"/>
      <c r="B133" s="9">
        <f>IF($A133="","",TEXT($A133,"ddd"))</f>
        <v/>
      </c>
      <c r="C133" s="4" t="n"/>
      <c r="D133" s="4" t="n"/>
      <c r="E133" s="4" t="n"/>
      <c r="F133" s="4" t="n"/>
      <c r="G133" s="6" t="n"/>
      <c r="H133" s="11">
        <f>IF($C133="","",IF($C133="Equipment",IFERROR(VLOOKUP($E133,EquipRates,IF(AND($F133&lt;&gt;"",$F133&lt;1),3,2),FALSE),0),IFERROR(VLOOKUP($C133,Trucks,2,FALSE),"")))</f>
        <v/>
      </c>
      <c r="I133" s="11">
        <f>IF($C133="","",CEILING(IF($H133&lt;&gt;"",$H133,IF($G133="",0,$G133))*IF($F133="",1,$F133),RoundInc))</f>
        <v/>
      </c>
      <c r="J133" s="4" t="n"/>
      <c r="K133" s="9">
        <f>IF($C133="","",IF(OR($C133="Truck stock",$C133="Purchase",$C133="Tech expense",$C133="Other"),"Yes","No"))</f>
        <v/>
      </c>
      <c r="L133" s="4" t="n"/>
      <c r="M133" s="9">
        <f>IF($A133="","",COUNTIF($A$2:$A133,$A133))</f>
        <v/>
      </c>
      <c r="N133" s="9">
        <f>IF($A133="","",TEXT($A133,"yyyy-mm-dd")&amp;"#"&amp;$M133)</f>
        <v/>
      </c>
    </row>
    <row r="134">
      <c r="A134" s="8" t="n"/>
      <c r="B134" s="9">
        <f>IF($A134="","",TEXT($A134,"ddd"))</f>
        <v/>
      </c>
      <c r="C134" s="4" t="n"/>
      <c r="D134" s="4" t="n"/>
      <c r="E134" s="4" t="n"/>
      <c r="F134" s="4" t="n"/>
      <c r="G134" s="6" t="n"/>
      <c r="H134" s="11">
        <f>IF($C134="","",IF($C134="Equipment",IFERROR(VLOOKUP($E134,EquipRates,IF(AND($F134&lt;&gt;"",$F134&lt;1),3,2),FALSE),0),IFERROR(VLOOKUP($C134,Trucks,2,FALSE),"")))</f>
        <v/>
      </c>
      <c r="I134" s="11">
        <f>IF($C134="","",CEILING(IF($H134&lt;&gt;"",$H134,IF($G134="",0,$G134))*IF($F134="",1,$F134),RoundInc))</f>
        <v/>
      </c>
      <c r="J134" s="4" t="n"/>
      <c r="K134" s="9">
        <f>IF($C134="","",IF(OR($C134="Truck stock",$C134="Purchase",$C134="Tech expense",$C134="Other"),"Yes","No"))</f>
        <v/>
      </c>
      <c r="L134" s="4" t="n"/>
      <c r="M134" s="9">
        <f>IF($A134="","",COUNTIF($A$2:$A134,$A134))</f>
        <v/>
      </c>
      <c r="N134" s="9">
        <f>IF($A134="","",TEXT($A134,"yyyy-mm-dd")&amp;"#"&amp;$M134)</f>
        <v/>
      </c>
    </row>
    <row r="135">
      <c r="A135" s="8" t="n"/>
      <c r="B135" s="9">
        <f>IF($A135="","",TEXT($A135,"ddd"))</f>
        <v/>
      </c>
      <c r="C135" s="4" t="n"/>
      <c r="D135" s="4" t="n"/>
      <c r="E135" s="4" t="n"/>
      <c r="F135" s="4" t="n"/>
      <c r="G135" s="6" t="n"/>
      <c r="H135" s="11">
        <f>IF($C135="","",IF($C135="Equipment",IFERROR(VLOOKUP($E135,EquipRates,IF(AND($F135&lt;&gt;"",$F135&lt;1),3,2),FALSE),0),IFERROR(VLOOKUP($C135,Trucks,2,FALSE),"")))</f>
        <v/>
      </c>
      <c r="I135" s="11">
        <f>IF($C135="","",CEILING(IF($H135&lt;&gt;"",$H135,IF($G135="",0,$G135))*IF($F135="",1,$F135),RoundInc))</f>
        <v/>
      </c>
      <c r="J135" s="4" t="n"/>
      <c r="K135" s="9">
        <f>IF($C135="","",IF(OR($C135="Truck stock",$C135="Purchase",$C135="Tech expense",$C135="Other"),"Yes","No"))</f>
        <v/>
      </c>
      <c r="L135" s="4" t="n"/>
      <c r="M135" s="9">
        <f>IF($A135="","",COUNTIF($A$2:$A135,$A135))</f>
        <v/>
      </c>
      <c r="N135" s="9">
        <f>IF($A135="","",TEXT($A135,"yyyy-mm-dd")&amp;"#"&amp;$M135)</f>
        <v/>
      </c>
    </row>
    <row r="136">
      <c r="A136" s="8" t="n"/>
      <c r="B136" s="9">
        <f>IF($A136="","",TEXT($A136,"ddd"))</f>
        <v/>
      </c>
      <c r="C136" s="4" t="n"/>
      <c r="D136" s="4" t="n"/>
      <c r="E136" s="4" t="n"/>
      <c r="F136" s="4" t="n"/>
      <c r="G136" s="6" t="n"/>
      <c r="H136" s="11">
        <f>IF($C136="","",IF($C136="Equipment",IFERROR(VLOOKUP($E136,EquipRates,IF(AND($F136&lt;&gt;"",$F136&lt;1),3,2),FALSE),0),IFERROR(VLOOKUP($C136,Trucks,2,FALSE),"")))</f>
        <v/>
      </c>
      <c r="I136" s="11">
        <f>IF($C136="","",CEILING(IF($H136&lt;&gt;"",$H136,IF($G136="",0,$G136))*IF($F136="",1,$F136),RoundInc))</f>
        <v/>
      </c>
      <c r="J136" s="4" t="n"/>
      <c r="K136" s="9">
        <f>IF($C136="","",IF(OR($C136="Truck stock",$C136="Purchase",$C136="Tech expense",$C136="Other"),"Yes","No"))</f>
        <v/>
      </c>
      <c r="L136" s="4" t="n"/>
      <c r="M136" s="9">
        <f>IF($A136="","",COUNTIF($A$2:$A136,$A136))</f>
        <v/>
      </c>
      <c r="N136" s="9">
        <f>IF($A136="","",TEXT($A136,"yyyy-mm-dd")&amp;"#"&amp;$M136)</f>
        <v/>
      </c>
    </row>
    <row r="137">
      <c r="A137" s="8" t="n"/>
      <c r="B137" s="9">
        <f>IF($A137="","",TEXT($A137,"ddd"))</f>
        <v/>
      </c>
      <c r="C137" s="4" t="n"/>
      <c r="D137" s="4" t="n"/>
      <c r="E137" s="4" t="n"/>
      <c r="F137" s="4" t="n"/>
      <c r="G137" s="6" t="n"/>
      <c r="H137" s="11">
        <f>IF($C137="","",IF($C137="Equipment",IFERROR(VLOOKUP($E137,EquipRates,IF(AND($F137&lt;&gt;"",$F137&lt;1),3,2),FALSE),0),IFERROR(VLOOKUP($C137,Trucks,2,FALSE),"")))</f>
        <v/>
      </c>
      <c r="I137" s="11">
        <f>IF($C137="","",CEILING(IF($H137&lt;&gt;"",$H137,IF($G137="",0,$G137))*IF($F137="",1,$F137),RoundInc))</f>
        <v/>
      </c>
      <c r="J137" s="4" t="n"/>
      <c r="K137" s="9">
        <f>IF($C137="","",IF(OR($C137="Truck stock",$C137="Purchase",$C137="Tech expense",$C137="Other"),"Yes","No"))</f>
        <v/>
      </c>
      <c r="L137" s="4" t="n"/>
      <c r="M137" s="9">
        <f>IF($A137="","",COUNTIF($A$2:$A137,$A137))</f>
        <v/>
      </c>
      <c r="N137" s="9">
        <f>IF($A137="","",TEXT($A137,"yyyy-mm-dd")&amp;"#"&amp;$M137)</f>
        <v/>
      </c>
    </row>
    <row r="138">
      <c r="A138" s="8" t="n"/>
      <c r="B138" s="9">
        <f>IF($A138="","",TEXT($A138,"ddd"))</f>
        <v/>
      </c>
      <c r="C138" s="4" t="n"/>
      <c r="D138" s="4" t="n"/>
      <c r="E138" s="4" t="n"/>
      <c r="F138" s="4" t="n"/>
      <c r="G138" s="6" t="n"/>
      <c r="H138" s="11">
        <f>IF($C138="","",IF($C138="Equipment",IFERROR(VLOOKUP($E138,EquipRates,IF(AND($F138&lt;&gt;"",$F138&lt;1),3,2),FALSE),0),IFERROR(VLOOKUP($C138,Trucks,2,FALSE),"")))</f>
        <v/>
      </c>
      <c r="I138" s="11">
        <f>IF($C138="","",CEILING(IF($H138&lt;&gt;"",$H138,IF($G138="",0,$G138))*IF($F138="",1,$F138),RoundInc))</f>
        <v/>
      </c>
      <c r="J138" s="4" t="n"/>
      <c r="K138" s="9">
        <f>IF($C138="","",IF(OR($C138="Truck stock",$C138="Purchase",$C138="Tech expense",$C138="Other"),"Yes","No"))</f>
        <v/>
      </c>
      <c r="L138" s="4" t="n"/>
      <c r="M138" s="9">
        <f>IF($A138="","",COUNTIF($A$2:$A138,$A138))</f>
        <v/>
      </c>
      <c r="N138" s="9">
        <f>IF($A138="","",TEXT($A138,"yyyy-mm-dd")&amp;"#"&amp;$M138)</f>
        <v/>
      </c>
    </row>
    <row r="139">
      <c r="A139" s="8" t="n"/>
      <c r="B139" s="9">
        <f>IF($A139="","",TEXT($A139,"ddd"))</f>
        <v/>
      </c>
      <c r="C139" s="4" t="n"/>
      <c r="D139" s="4" t="n"/>
      <c r="E139" s="4" t="n"/>
      <c r="F139" s="4" t="n"/>
      <c r="G139" s="6" t="n"/>
      <c r="H139" s="11">
        <f>IF($C139="","",IF($C139="Equipment",IFERROR(VLOOKUP($E139,EquipRates,IF(AND($F139&lt;&gt;"",$F139&lt;1),3,2),FALSE),0),IFERROR(VLOOKUP($C139,Trucks,2,FALSE),"")))</f>
        <v/>
      </c>
      <c r="I139" s="11">
        <f>IF($C139="","",CEILING(IF($H139&lt;&gt;"",$H139,IF($G139="",0,$G139))*IF($F139="",1,$F139),RoundInc))</f>
        <v/>
      </c>
      <c r="J139" s="4" t="n"/>
      <c r="K139" s="9">
        <f>IF($C139="","",IF(OR($C139="Truck stock",$C139="Purchase",$C139="Tech expense",$C139="Other"),"Yes","No"))</f>
        <v/>
      </c>
      <c r="L139" s="4" t="n"/>
      <c r="M139" s="9">
        <f>IF($A139="","",COUNTIF($A$2:$A139,$A139))</f>
        <v/>
      </c>
      <c r="N139" s="9">
        <f>IF($A139="","",TEXT($A139,"yyyy-mm-dd")&amp;"#"&amp;$M139)</f>
        <v/>
      </c>
    </row>
    <row r="140">
      <c r="A140" s="8" t="n"/>
      <c r="B140" s="9">
        <f>IF($A140="","",TEXT($A140,"ddd"))</f>
        <v/>
      </c>
      <c r="C140" s="4" t="n"/>
      <c r="D140" s="4" t="n"/>
      <c r="E140" s="4" t="n"/>
      <c r="F140" s="4" t="n"/>
      <c r="G140" s="6" t="n"/>
      <c r="H140" s="11">
        <f>IF($C140="","",IF($C140="Equipment",IFERROR(VLOOKUP($E140,EquipRates,IF(AND($F140&lt;&gt;"",$F140&lt;1),3,2),FALSE),0),IFERROR(VLOOKUP($C140,Trucks,2,FALSE),"")))</f>
        <v/>
      </c>
      <c r="I140" s="11">
        <f>IF($C140="","",CEILING(IF($H140&lt;&gt;"",$H140,IF($G140="",0,$G140))*IF($F140="",1,$F140),RoundInc))</f>
        <v/>
      </c>
      <c r="J140" s="4" t="n"/>
      <c r="K140" s="9">
        <f>IF($C140="","",IF(OR($C140="Truck stock",$C140="Purchase",$C140="Tech expense",$C140="Other"),"Yes","No"))</f>
        <v/>
      </c>
      <c r="L140" s="4" t="n"/>
      <c r="M140" s="9">
        <f>IF($A140="","",COUNTIF($A$2:$A140,$A140))</f>
        <v/>
      </c>
      <c r="N140" s="9">
        <f>IF($A140="","",TEXT($A140,"yyyy-mm-dd")&amp;"#"&amp;$M140)</f>
        <v/>
      </c>
    </row>
    <row r="141">
      <c r="A141" s="8" t="n"/>
      <c r="B141" s="9">
        <f>IF($A141="","",TEXT($A141,"ddd"))</f>
        <v/>
      </c>
      <c r="C141" s="4" t="n"/>
      <c r="D141" s="4" t="n"/>
      <c r="E141" s="4" t="n"/>
      <c r="F141" s="4" t="n"/>
      <c r="G141" s="6" t="n"/>
      <c r="H141" s="11">
        <f>IF($C141="","",IF($C141="Equipment",IFERROR(VLOOKUP($E141,EquipRates,IF(AND($F141&lt;&gt;"",$F141&lt;1),3,2),FALSE),0),IFERROR(VLOOKUP($C141,Trucks,2,FALSE),"")))</f>
        <v/>
      </c>
      <c r="I141" s="11">
        <f>IF($C141="","",CEILING(IF($H141&lt;&gt;"",$H141,IF($G141="",0,$G141))*IF($F141="",1,$F141),RoundInc))</f>
        <v/>
      </c>
      <c r="J141" s="4" t="n"/>
      <c r="K141" s="9">
        <f>IF($C141="","",IF(OR($C141="Truck stock",$C141="Purchase",$C141="Tech expense",$C141="Other"),"Yes","No"))</f>
        <v/>
      </c>
      <c r="L141" s="4" t="n"/>
      <c r="M141" s="9">
        <f>IF($A141="","",COUNTIF($A$2:$A141,$A141))</f>
        <v/>
      </c>
      <c r="N141" s="9">
        <f>IF($A141="","",TEXT($A141,"yyyy-mm-dd")&amp;"#"&amp;$M141)</f>
        <v/>
      </c>
    </row>
    <row r="142">
      <c r="A142" s="8" t="n"/>
      <c r="B142" s="9">
        <f>IF($A142="","",TEXT($A142,"ddd"))</f>
        <v/>
      </c>
      <c r="C142" s="4" t="n"/>
      <c r="D142" s="4" t="n"/>
      <c r="E142" s="4" t="n"/>
      <c r="F142" s="4" t="n"/>
      <c r="G142" s="6" t="n"/>
      <c r="H142" s="11">
        <f>IF($C142="","",IF($C142="Equipment",IFERROR(VLOOKUP($E142,EquipRates,IF(AND($F142&lt;&gt;"",$F142&lt;1),3,2),FALSE),0),IFERROR(VLOOKUP($C142,Trucks,2,FALSE),"")))</f>
        <v/>
      </c>
      <c r="I142" s="11">
        <f>IF($C142="","",CEILING(IF($H142&lt;&gt;"",$H142,IF($G142="",0,$G142))*IF($F142="",1,$F142),RoundInc))</f>
        <v/>
      </c>
      <c r="J142" s="4" t="n"/>
      <c r="K142" s="9">
        <f>IF($C142="","",IF(OR($C142="Truck stock",$C142="Purchase",$C142="Tech expense",$C142="Other"),"Yes","No"))</f>
        <v/>
      </c>
      <c r="L142" s="4" t="n"/>
      <c r="M142" s="9">
        <f>IF($A142="","",COUNTIF($A$2:$A142,$A142))</f>
        <v/>
      </c>
      <c r="N142" s="9">
        <f>IF($A142="","",TEXT($A142,"yyyy-mm-dd")&amp;"#"&amp;$M142)</f>
        <v/>
      </c>
    </row>
    <row r="143">
      <c r="A143" s="8" t="n"/>
      <c r="B143" s="9">
        <f>IF($A143="","",TEXT($A143,"ddd"))</f>
        <v/>
      </c>
      <c r="C143" s="4" t="n"/>
      <c r="D143" s="4" t="n"/>
      <c r="E143" s="4" t="n"/>
      <c r="F143" s="4" t="n"/>
      <c r="G143" s="6" t="n"/>
      <c r="H143" s="11">
        <f>IF($C143="","",IF($C143="Equipment",IFERROR(VLOOKUP($E143,EquipRates,IF(AND($F143&lt;&gt;"",$F143&lt;1),3,2),FALSE),0),IFERROR(VLOOKUP($C143,Trucks,2,FALSE),"")))</f>
        <v/>
      </c>
      <c r="I143" s="11">
        <f>IF($C143="","",CEILING(IF($H143&lt;&gt;"",$H143,IF($G143="",0,$G143))*IF($F143="",1,$F143),RoundInc))</f>
        <v/>
      </c>
      <c r="J143" s="4" t="n"/>
      <c r="K143" s="9">
        <f>IF($C143="","",IF(OR($C143="Truck stock",$C143="Purchase",$C143="Tech expense",$C143="Other"),"Yes","No"))</f>
        <v/>
      </c>
      <c r="L143" s="4" t="n"/>
      <c r="M143" s="9">
        <f>IF($A143="","",COUNTIF($A$2:$A143,$A143))</f>
        <v/>
      </c>
      <c r="N143" s="9">
        <f>IF($A143="","",TEXT($A143,"yyyy-mm-dd")&amp;"#"&amp;$M143)</f>
        <v/>
      </c>
    </row>
    <row r="144">
      <c r="A144" s="8" t="n"/>
      <c r="B144" s="9">
        <f>IF($A144="","",TEXT($A144,"ddd"))</f>
        <v/>
      </c>
      <c r="C144" s="4" t="n"/>
      <c r="D144" s="4" t="n"/>
      <c r="E144" s="4" t="n"/>
      <c r="F144" s="4" t="n"/>
      <c r="G144" s="6" t="n"/>
      <c r="H144" s="11">
        <f>IF($C144="","",IF($C144="Equipment",IFERROR(VLOOKUP($E144,EquipRates,IF(AND($F144&lt;&gt;"",$F144&lt;1),3,2),FALSE),0),IFERROR(VLOOKUP($C144,Trucks,2,FALSE),"")))</f>
        <v/>
      </c>
      <c r="I144" s="11">
        <f>IF($C144="","",CEILING(IF($H144&lt;&gt;"",$H144,IF($G144="",0,$G144))*IF($F144="",1,$F144),RoundInc))</f>
        <v/>
      </c>
      <c r="J144" s="4" t="n"/>
      <c r="K144" s="9">
        <f>IF($C144="","",IF(OR($C144="Truck stock",$C144="Purchase",$C144="Tech expense",$C144="Other"),"Yes","No"))</f>
        <v/>
      </c>
      <c r="L144" s="4" t="n"/>
      <c r="M144" s="9">
        <f>IF($A144="","",COUNTIF($A$2:$A144,$A144))</f>
        <v/>
      </c>
      <c r="N144" s="9">
        <f>IF($A144="","",TEXT($A144,"yyyy-mm-dd")&amp;"#"&amp;$M144)</f>
        <v/>
      </c>
    </row>
    <row r="145">
      <c r="A145" s="8" t="n"/>
      <c r="B145" s="9">
        <f>IF($A145="","",TEXT($A145,"ddd"))</f>
        <v/>
      </c>
      <c r="C145" s="4" t="n"/>
      <c r="D145" s="4" t="n"/>
      <c r="E145" s="4" t="n"/>
      <c r="F145" s="4" t="n"/>
      <c r="G145" s="6" t="n"/>
      <c r="H145" s="11">
        <f>IF($C145="","",IF($C145="Equipment",IFERROR(VLOOKUP($E145,EquipRates,IF(AND($F145&lt;&gt;"",$F145&lt;1),3,2),FALSE),0),IFERROR(VLOOKUP($C145,Trucks,2,FALSE),"")))</f>
        <v/>
      </c>
      <c r="I145" s="11">
        <f>IF($C145="","",CEILING(IF($H145&lt;&gt;"",$H145,IF($G145="",0,$G145))*IF($F145="",1,$F145),RoundInc))</f>
        <v/>
      </c>
      <c r="J145" s="4" t="n"/>
      <c r="K145" s="9">
        <f>IF($C145="","",IF(OR($C145="Truck stock",$C145="Purchase",$C145="Tech expense",$C145="Other"),"Yes","No"))</f>
        <v/>
      </c>
      <c r="L145" s="4" t="n"/>
      <c r="M145" s="9">
        <f>IF($A145="","",COUNTIF($A$2:$A145,$A145))</f>
        <v/>
      </c>
      <c r="N145" s="9">
        <f>IF($A145="","",TEXT($A145,"yyyy-mm-dd")&amp;"#"&amp;$M145)</f>
        <v/>
      </c>
    </row>
    <row r="146">
      <c r="A146" s="8" t="n"/>
      <c r="B146" s="9">
        <f>IF($A146="","",TEXT($A146,"ddd"))</f>
        <v/>
      </c>
      <c r="C146" s="4" t="n"/>
      <c r="D146" s="4" t="n"/>
      <c r="E146" s="4" t="n"/>
      <c r="F146" s="4" t="n"/>
      <c r="G146" s="6" t="n"/>
      <c r="H146" s="11">
        <f>IF($C146="","",IF($C146="Equipment",IFERROR(VLOOKUP($E146,EquipRates,IF(AND($F146&lt;&gt;"",$F146&lt;1),3,2),FALSE),0),IFERROR(VLOOKUP($C146,Trucks,2,FALSE),"")))</f>
        <v/>
      </c>
      <c r="I146" s="11">
        <f>IF($C146="","",CEILING(IF($H146&lt;&gt;"",$H146,IF($G146="",0,$G146))*IF($F146="",1,$F146),RoundInc))</f>
        <v/>
      </c>
      <c r="J146" s="4" t="n"/>
      <c r="K146" s="9">
        <f>IF($C146="","",IF(OR($C146="Truck stock",$C146="Purchase",$C146="Tech expense",$C146="Other"),"Yes","No"))</f>
        <v/>
      </c>
      <c r="L146" s="4" t="n"/>
      <c r="M146" s="9">
        <f>IF($A146="","",COUNTIF($A$2:$A146,$A146))</f>
        <v/>
      </c>
      <c r="N146" s="9">
        <f>IF($A146="","",TEXT($A146,"yyyy-mm-dd")&amp;"#"&amp;$M146)</f>
        <v/>
      </c>
    </row>
    <row r="147">
      <c r="A147" s="8" t="n"/>
      <c r="B147" s="9">
        <f>IF($A147="","",TEXT($A147,"ddd"))</f>
        <v/>
      </c>
      <c r="C147" s="4" t="n"/>
      <c r="D147" s="4" t="n"/>
      <c r="E147" s="4" t="n"/>
      <c r="F147" s="4" t="n"/>
      <c r="G147" s="6" t="n"/>
      <c r="H147" s="11">
        <f>IF($C147="","",IF($C147="Equipment",IFERROR(VLOOKUP($E147,EquipRates,IF(AND($F147&lt;&gt;"",$F147&lt;1),3,2),FALSE),0),IFERROR(VLOOKUP($C147,Trucks,2,FALSE),"")))</f>
        <v/>
      </c>
      <c r="I147" s="11">
        <f>IF($C147="","",CEILING(IF($H147&lt;&gt;"",$H147,IF($G147="",0,$G147))*IF($F147="",1,$F147),RoundInc))</f>
        <v/>
      </c>
      <c r="J147" s="4" t="n"/>
      <c r="K147" s="9">
        <f>IF($C147="","",IF(OR($C147="Truck stock",$C147="Purchase",$C147="Tech expense",$C147="Other"),"Yes","No"))</f>
        <v/>
      </c>
      <c r="L147" s="4" t="n"/>
      <c r="M147" s="9">
        <f>IF($A147="","",COUNTIF($A$2:$A147,$A147))</f>
        <v/>
      </c>
      <c r="N147" s="9">
        <f>IF($A147="","",TEXT($A147,"yyyy-mm-dd")&amp;"#"&amp;$M147)</f>
        <v/>
      </c>
    </row>
    <row r="148">
      <c r="A148" s="8" t="n"/>
      <c r="B148" s="9">
        <f>IF($A148="","",TEXT($A148,"ddd"))</f>
        <v/>
      </c>
      <c r="C148" s="4" t="n"/>
      <c r="D148" s="4" t="n"/>
      <c r="E148" s="4" t="n"/>
      <c r="F148" s="4" t="n"/>
      <c r="G148" s="6" t="n"/>
      <c r="H148" s="11">
        <f>IF($C148="","",IF($C148="Equipment",IFERROR(VLOOKUP($E148,EquipRates,IF(AND($F148&lt;&gt;"",$F148&lt;1),3,2),FALSE),0),IFERROR(VLOOKUP($C148,Trucks,2,FALSE),"")))</f>
        <v/>
      </c>
      <c r="I148" s="11">
        <f>IF($C148="","",CEILING(IF($H148&lt;&gt;"",$H148,IF($G148="",0,$G148))*IF($F148="",1,$F148),RoundInc))</f>
        <v/>
      </c>
      <c r="J148" s="4" t="n"/>
      <c r="K148" s="9">
        <f>IF($C148="","",IF(OR($C148="Truck stock",$C148="Purchase",$C148="Tech expense",$C148="Other"),"Yes","No"))</f>
        <v/>
      </c>
      <c r="L148" s="4" t="n"/>
      <c r="M148" s="9">
        <f>IF($A148="","",COUNTIF($A$2:$A148,$A148))</f>
        <v/>
      </c>
      <c r="N148" s="9">
        <f>IF($A148="","",TEXT($A148,"yyyy-mm-dd")&amp;"#"&amp;$M148)</f>
        <v/>
      </c>
    </row>
    <row r="149">
      <c r="A149" s="8" t="n"/>
      <c r="B149" s="9">
        <f>IF($A149="","",TEXT($A149,"ddd"))</f>
        <v/>
      </c>
      <c r="C149" s="4" t="n"/>
      <c r="D149" s="4" t="n"/>
      <c r="E149" s="4" t="n"/>
      <c r="F149" s="4" t="n"/>
      <c r="G149" s="6" t="n"/>
      <c r="H149" s="11">
        <f>IF($C149="","",IF($C149="Equipment",IFERROR(VLOOKUP($E149,EquipRates,IF(AND($F149&lt;&gt;"",$F149&lt;1),3,2),FALSE),0),IFERROR(VLOOKUP($C149,Trucks,2,FALSE),"")))</f>
        <v/>
      </c>
      <c r="I149" s="11">
        <f>IF($C149="","",CEILING(IF($H149&lt;&gt;"",$H149,IF($G149="",0,$G149))*IF($F149="",1,$F149),RoundInc))</f>
        <v/>
      </c>
      <c r="J149" s="4" t="n"/>
      <c r="K149" s="9">
        <f>IF($C149="","",IF(OR($C149="Truck stock",$C149="Purchase",$C149="Tech expense",$C149="Other"),"Yes","No"))</f>
        <v/>
      </c>
      <c r="L149" s="4" t="n"/>
      <c r="M149" s="9">
        <f>IF($A149="","",COUNTIF($A$2:$A149,$A149))</f>
        <v/>
      </c>
      <c r="N149" s="9">
        <f>IF($A149="","",TEXT($A149,"yyyy-mm-dd")&amp;"#"&amp;$M149)</f>
        <v/>
      </c>
    </row>
    <row r="150">
      <c r="A150" s="8" t="n"/>
      <c r="B150" s="9">
        <f>IF($A150="","",TEXT($A150,"ddd"))</f>
        <v/>
      </c>
      <c r="C150" s="4" t="n"/>
      <c r="D150" s="4" t="n"/>
      <c r="E150" s="4" t="n"/>
      <c r="F150" s="4" t="n"/>
      <c r="G150" s="6" t="n"/>
      <c r="H150" s="11">
        <f>IF($C150="","",IF($C150="Equipment",IFERROR(VLOOKUP($E150,EquipRates,IF(AND($F150&lt;&gt;"",$F150&lt;1),3,2),FALSE),0),IFERROR(VLOOKUP($C150,Trucks,2,FALSE),"")))</f>
        <v/>
      </c>
      <c r="I150" s="11">
        <f>IF($C150="","",CEILING(IF($H150&lt;&gt;"",$H150,IF($G150="",0,$G150))*IF($F150="",1,$F150),RoundInc))</f>
        <v/>
      </c>
      <c r="J150" s="4" t="n"/>
      <c r="K150" s="9">
        <f>IF($C150="","",IF(OR($C150="Truck stock",$C150="Purchase",$C150="Tech expense",$C150="Other"),"Yes","No"))</f>
        <v/>
      </c>
      <c r="L150" s="4" t="n"/>
      <c r="M150" s="9">
        <f>IF($A150="","",COUNTIF($A$2:$A150,$A150))</f>
        <v/>
      </c>
      <c r="N150" s="9">
        <f>IF($A150="","",TEXT($A150,"yyyy-mm-dd")&amp;"#"&amp;$M150)</f>
        <v/>
      </c>
    </row>
    <row r="151">
      <c r="A151" s="8" t="n"/>
      <c r="B151" s="9">
        <f>IF($A151="","",TEXT($A151,"ddd"))</f>
        <v/>
      </c>
      <c r="C151" s="4" t="n"/>
      <c r="D151" s="4" t="n"/>
      <c r="E151" s="4" t="n"/>
      <c r="F151" s="4" t="n"/>
      <c r="G151" s="6" t="n"/>
      <c r="H151" s="11">
        <f>IF($C151="","",IF($C151="Equipment",IFERROR(VLOOKUP($E151,EquipRates,IF(AND($F151&lt;&gt;"",$F151&lt;1),3,2),FALSE),0),IFERROR(VLOOKUP($C151,Trucks,2,FALSE),"")))</f>
        <v/>
      </c>
      <c r="I151" s="11">
        <f>IF($C151="","",CEILING(IF($H151&lt;&gt;"",$H151,IF($G151="",0,$G151))*IF($F151="",1,$F151),RoundInc))</f>
        <v/>
      </c>
      <c r="J151" s="4" t="n"/>
      <c r="K151" s="9">
        <f>IF($C151="","",IF(OR($C151="Truck stock",$C151="Purchase",$C151="Tech expense",$C151="Other"),"Yes","No"))</f>
        <v/>
      </c>
      <c r="L151" s="4" t="n"/>
      <c r="M151" s="9">
        <f>IF($A151="","",COUNTIF($A$2:$A151,$A151))</f>
        <v/>
      </c>
      <c r="N151" s="9">
        <f>IF($A151="","",TEXT($A151,"yyyy-mm-dd")&amp;"#"&amp;$M151)</f>
        <v/>
      </c>
    </row>
    <row r="152">
      <c r="A152" s="8" t="n"/>
      <c r="B152" s="9">
        <f>IF($A152="","",TEXT($A152,"ddd"))</f>
        <v/>
      </c>
      <c r="C152" s="4" t="n"/>
      <c r="D152" s="4" t="n"/>
      <c r="E152" s="4" t="n"/>
      <c r="F152" s="4" t="n"/>
      <c r="G152" s="6" t="n"/>
      <c r="H152" s="11">
        <f>IF($C152="","",IF($C152="Equipment",IFERROR(VLOOKUP($E152,EquipRates,IF(AND($F152&lt;&gt;"",$F152&lt;1),3,2),FALSE),0),IFERROR(VLOOKUP($C152,Trucks,2,FALSE),"")))</f>
        <v/>
      </c>
      <c r="I152" s="11">
        <f>IF($C152="","",CEILING(IF($H152&lt;&gt;"",$H152,IF($G152="",0,$G152))*IF($F152="",1,$F152),RoundInc))</f>
        <v/>
      </c>
      <c r="J152" s="4" t="n"/>
      <c r="K152" s="9">
        <f>IF($C152="","",IF(OR($C152="Truck stock",$C152="Purchase",$C152="Tech expense",$C152="Other"),"Yes","No"))</f>
        <v/>
      </c>
      <c r="L152" s="4" t="n"/>
      <c r="M152" s="9">
        <f>IF($A152="","",COUNTIF($A$2:$A152,$A152))</f>
        <v/>
      </c>
      <c r="N152" s="9">
        <f>IF($A152="","",TEXT($A152,"yyyy-mm-dd")&amp;"#"&amp;$M152)</f>
        <v/>
      </c>
    </row>
    <row r="153">
      <c r="A153" s="8" t="n"/>
      <c r="B153" s="9">
        <f>IF($A153="","",TEXT($A153,"ddd"))</f>
        <v/>
      </c>
      <c r="C153" s="4" t="n"/>
      <c r="D153" s="4" t="n"/>
      <c r="E153" s="4" t="n"/>
      <c r="F153" s="4" t="n"/>
      <c r="G153" s="6" t="n"/>
      <c r="H153" s="11">
        <f>IF($C153="","",IF($C153="Equipment",IFERROR(VLOOKUP($E153,EquipRates,IF(AND($F153&lt;&gt;"",$F153&lt;1),3,2),FALSE),0),IFERROR(VLOOKUP($C153,Trucks,2,FALSE),"")))</f>
        <v/>
      </c>
      <c r="I153" s="11">
        <f>IF($C153="","",CEILING(IF($H153&lt;&gt;"",$H153,IF($G153="",0,$G153))*IF($F153="",1,$F153),RoundInc))</f>
        <v/>
      </c>
      <c r="J153" s="4" t="n"/>
      <c r="K153" s="9">
        <f>IF($C153="","",IF(OR($C153="Truck stock",$C153="Purchase",$C153="Tech expense",$C153="Other"),"Yes","No"))</f>
        <v/>
      </c>
      <c r="L153" s="4" t="n"/>
      <c r="M153" s="9">
        <f>IF($A153="","",COUNTIF($A$2:$A153,$A153))</f>
        <v/>
      </c>
      <c r="N153" s="9">
        <f>IF($A153="","",TEXT($A153,"yyyy-mm-dd")&amp;"#"&amp;$M153)</f>
        <v/>
      </c>
    </row>
    <row r="154">
      <c r="A154" s="8" t="n"/>
      <c r="B154" s="9">
        <f>IF($A154="","",TEXT($A154,"ddd"))</f>
        <v/>
      </c>
      <c r="C154" s="4" t="n"/>
      <c r="D154" s="4" t="n"/>
      <c r="E154" s="4" t="n"/>
      <c r="F154" s="4" t="n"/>
      <c r="G154" s="6" t="n"/>
      <c r="H154" s="11">
        <f>IF($C154="","",IF($C154="Equipment",IFERROR(VLOOKUP($E154,EquipRates,IF(AND($F154&lt;&gt;"",$F154&lt;1),3,2),FALSE),0),IFERROR(VLOOKUP($C154,Trucks,2,FALSE),"")))</f>
        <v/>
      </c>
      <c r="I154" s="11">
        <f>IF($C154="","",CEILING(IF($H154&lt;&gt;"",$H154,IF($G154="",0,$G154))*IF($F154="",1,$F154),RoundInc))</f>
        <v/>
      </c>
      <c r="J154" s="4" t="n"/>
      <c r="K154" s="9">
        <f>IF($C154="","",IF(OR($C154="Truck stock",$C154="Purchase",$C154="Tech expense",$C154="Other"),"Yes","No"))</f>
        <v/>
      </c>
      <c r="L154" s="4" t="n"/>
      <c r="M154" s="9">
        <f>IF($A154="","",COUNTIF($A$2:$A154,$A154))</f>
        <v/>
      </c>
      <c r="N154" s="9">
        <f>IF($A154="","",TEXT($A154,"yyyy-mm-dd")&amp;"#"&amp;$M154)</f>
        <v/>
      </c>
    </row>
    <row r="155">
      <c r="A155" s="8" t="n"/>
      <c r="B155" s="9">
        <f>IF($A155="","",TEXT($A155,"ddd"))</f>
        <v/>
      </c>
      <c r="C155" s="4" t="n"/>
      <c r="D155" s="4" t="n"/>
      <c r="E155" s="4" t="n"/>
      <c r="F155" s="4" t="n"/>
      <c r="G155" s="6" t="n"/>
      <c r="H155" s="11">
        <f>IF($C155="","",IF($C155="Equipment",IFERROR(VLOOKUP($E155,EquipRates,IF(AND($F155&lt;&gt;"",$F155&lt;1),3,2),FALSE),0),IFERROR(VLOOKUP($C155,Trucks,2,FALSE),"")))</f>
        <v/>
      </c>
      <c r="I155" s="11">
        <f>IF($C155="","",CEILING(IF($H155&lt;&gt;"",$H155,IF($G155="",0,$G155))*IF($F155="",1,$F155),RoundInc))</f>
        <v/>
      </c>
      <c r="J155" s="4" t="n"/>
      <c r="K155" s="9">
        <f>IF($C155="","",IF(OR($C155="Truck stock",$C155="Purchase",$C155="Tech expense",$C155="Other"),"Yes","No"))</f>
        <v/>
      </c>
      <c r="L155" s="4" t="n"/>
      <c r="M155" s="9">
        <f>IF($A155="","",COUNTIF($A$2:$A155,$A155))</f>
        <v/>
      </c>
      <c r="N155" s="9">
        <f>IF($A155="","",TEXT($A155,"yyyy-mm-dd")&amp;"#"&amp;$M155)</f>
        <v/>
      </c>
    </row>
    <row r="156">
      <c r="A156" s="8" t="n"/>
      <c r="B156" s="9">
        <f>IF($A156="","",TEXT($A156,"ddd"))</f>
        <v/>
      </c>
      <c r="C156" s="4" t="n"/>
      <c r="D156" s="4" t="n"/>
      <c r="E156" s="4" t="n"/>
      <c r="F156" s="4" t="n"/>
      <c r="G156" s="6" t="n"/>
      <c r="H156" s="11">
        <f>IF($C156="","",IF($C156="Equipment",IFERROR(VLOOKUP($E156,EquipRates,IF(AND($F156&lt;&gt;"",$F156&lt;1),3,2),FALSE),0),IFERROR(VLOOKUP($C156,Trucks,2,FALSE),"")))</f>
        <v/>
      </c>
      <c r="I156" s="11">
        <f>IF($C156="","",CEILING(IF($H156&lt;&gt;"",$H156,IF($G156="",0,$G156))*IF($F156="",1,$F156),RoundInc))</f>
        <v/>
      </c>
      <c r="J156" s="4" t="n"/>
      <c r="K156" s="9">
        <f>IF($C156="","",IF(OR($C156="Truck stock",$C156="Purchase",$C156="Tech expense",$C156="Other"),"Yes","No"))</f>
        <v/>
      </c>
      <c r="L156" s="4" t="n"/>
      <c r="M156" s="9">
        <f>IF($A156="","",COUNTIF($A$2:$A156,$A156))</f>
        <v/>
      </c>
      <c r="N156" s="9">
        <f>IF($A156="","",TEXT($A156,"yyyy-mm-dd")&amp;"#"&amp;$M156)</f>
        <v/>
      </c>
    </row>
    <row r="157">
      <c r="A157" s="8" t="n"/>
      <c r="B157" s="9">
        <f>IF($A157="","",TEXT($A157,"ddd"))</f>
        <v/>
      </c>
      <c r="C157" s="4" t="n"/>
      <c r="D157" s="4" t="n"/>
      <c r="E157" s="4" t="n"/>
      <c r="F157" s="4" t="n"/>
      <c r="G157" s="6" t="n"/>
      <c r="H157" s="11">
        <f>IF($C157="","",IF($C157="Equipment",IFERROR(VLOOKUP($E157,EquipRates,IF(AND($F157&lt;&gt;"",$F157&lt;1),3,2),FALSE),0),IFERROR(VLOOKUP($C157,Trucks,2,FALSE),"")))</f>
        <v/>
      </c>
      <c r="I157" s="11">
        <f>IF($C157="","",CEILING(IF($H157&lt;&gt;"",$H157,IF($G157="",0,$G157))*IF($F157="",1,$F157),RoundInc))</f>
        <v/>
      </c>
      <c r="J157" s="4" t="n"/>
      <c r="K157" s="9">
        <f>IF($C157="","",IF(OR($C157="Truck stock",$C157="Purchase",$C157="Tech expense",$C157="Other"),"Yes","No"))</f>
        <v/>
      </c>
      <c r="L157" s="4" t="n"/>
      <c r="M157" s="9">
        <f>IF($A157="","",COUNTIF($A$2:$A157,$A157))</f>
        <v/>
      </c>
      <c r="N157" s="9">
        <f>IF($A157="","",TEXT($A157,"yyyy-mm-dd")&amp;"#"&amp;$M157)</f>
        <v/>
      </c>
    </row>
    <row r="158">
      <c r="A158" s="8" t="n"/>
      <c r="B158" s="9">
        <f>IF($A158="","",TEXT($A158,"ddd"))</f>
        <v/>
      </c>
      <c r="C158" s="4" t="n"/>
      <c r="D158" s="4" t="n"/>
      <c r="E158" s="4" t="n"/>
      <c r="F158" s="4" t="n"/>
      <c r="G158" s="6" t="n"/>
      <c r="H158" s="11">
        <f>IF($C158="","",IF($C158="Equipment",IFERROR(VLOOKUP($E158,EquipRates,IF(AND($F158&lt;&gt;"",$F158&lt;1),3,2),FALSE),0),IFERROR(VLOOKUP($C158,Trucks,2,FALSE),"")))</f>
        <v/>
      </c>
      <c r="I158" s="11">
        <f>IF($C158="","",CEILING(IF($H158&lt;&gt;"",$H158,IF($G158="",0,$G158))*IF($F158="",1,$F158),RoundInc))</f>
        <v/>
      </c>
      <c r="J158" s="4" t="n"/>
      <c r="K158" s="9">
        <f>IF($C158="","",IF(OR($C158="Truck stock",$C158="Purchase",$C158="Tech expense",$C158="Other"),"Yes","No"))</f>
        <v/>
      </c>
      <c r="L158" s="4" t="n"/>
      <c r="M158" s="9">
        <f>IF($A158="","",COUNTIF($A$2:$A158,$A158))</f>
        <v/>
      </c>
      <c r="N158" s="9">
        <f>IF($A158="","",TEXT($A158,"yyyy-mm-dd")&amp;"#"&amp;$M158)</f>
        <v/>
      </c>
    </row>
    <row r="159">
      <c r="A159" s="8" t="n"/>
      <c r="B159" s="9">
        <f>IF($A159="","",TEXT($A159,"ddd"))</f>
        <v/>
      </c>
      <c r="C159" s="4" t="n"/>
      <c r="D159" s="4" t="n"/>
      <c r="E159" s="4" t="n"/>
      <c r="F159" s="4" t="n"/>
      <c r="G159" s="6" t="n"/>
      <c r="H159" s="11">
        <f>IF($C159="","",IF($C159="Equipment",IFERROR(VLOOKUP($E159,EquipRates,IF(AND($F159&lt;&gt;"",$F159&lt;1),3,2),FALSE),0),IFERROR(VLOOKUP($C159,Trucks,2,FALSE),"")))</f>
        <v/>
      </c>
      <c r="I159" s="11">
        <f>IF($C159="","",CEILING(IF($H159&lt;&gt;"",$H159,IF($G159="",0,$G159))*IF($F159="",1,$F159),RoundInc))</f>
        <v/>
      </c>
      <c r="J159" s="4" t="n"/>
      <c r="K159" s="9">
        <f>IF($C159="","",IF(OR($C159="Truck stock",$C159="Purchase",$C159="Tech expense",$C159="Other"),"Yes","No"))</f>
        <v/>
      </c>
      <c r="L159" s="4" t="n"/>
      <c r="M159" s="9">
        <f>IF($A159="","",COUNTIF($A$2:$A159,$A159))</f>
        <v/>
      </c>
      <c r="N159" s="9">
        <f>IF($A159="","",TEXT($A159,"yyyy-mm-dd")&amp;"#"&amp;$M159)</f>
        <v/>
      </c>
    </row>
    <row r="160">
      <c r="A160" s="8" t="n"/>
      <c r="B160" s="9">
        <f>IF($A160="","",TEXT($A160,"ddd"))</f>
        <v/>
      </c>
      <c r="C160" s="4" t="n"/>
      <c r="D160" s="4" t="n"/>
      <c r="E160" s="4" t="n"/>
      <c r="F160" s="4" t="n"/>
      <c r="G160" s="6" t="n"/>
      <c r="H160" s="11">
        <f>IF($C160="","",IF($C160="Equipment",IFERROR(VLOOKUP($E160,EquipRates,IF(AND($F160&lt;&gt;"",$F160&lt;1),3,2),FALSE),0),IFERROR(VLOOKUP($C160,Trucks,2,FALSE),"")))</f>
        <v/>
      </c>
      <c r="I160" s="11">
        <f>IF($C160="","",CEILING(IF($H160&lt;&gt;"",$H160,IF($G160="",0,$G160))*IF($F160="",1,$F160),RoundInc))</f>
        <v/>
      </c>
      <c r="J160" s="4" t="n"/>
      <c r="K160" s="9">
        <f>IF($C160="","",IF(OR($C160="Truck stock",$C160="Purchase",$C160="Tech expense",$C160="Other"),"Yes","No"))</f>
        <v/>
      </c>
      <c r="L160" s="4" t="n"/>
      <c r="M160" s="9">
        <f>IF($A160="","",COUNTIF($A$2:$A160,$A160))</f>
        <v/>
      </c>
      <c r="N160" s="9">
        <f>IF($A160="","",TEXT($A160,"yyyy-mm-dd")&amp;"#"&amp;$M160)</f>
        <v/>
      </c>
    </row>
    <row r="161">
      <c r="A161" s="8" t="n"/>
      <c r="B161" s="9">
        <f>IF($A161="","",TEXT($A161,"ddd"))</f>
        <v/>
      </c>
      <c r="C161" s="4" t="n"/>
      <c r="D161" s="4" t="n"/>
      <c r="E161" s="4" t="n"/>
      <c r="F161" s="4" t="n"/>
      <c r="G161" s="6" t="n"/>
      <c r="H161" s="11">
        <f>IF($C161="","",IF($C161="Equipment",IFERROR(VLOOKUP($E161,EquipRates,IF(AND($F161&lt;&gt;"",$F161&lt;1),3,2),FALSE),0),IFERROR(VLOOKUP($C161,Trucks,2,FALSE),"")))</f>
        <v/>
      </c>
      <c r="I161" s="11">
        <f>IF($C161="","",CEILING(IF($H161&lt;&gt;"",$H161,IF($G161="",0,$G161))*IF($F161="",1,$F161),RoundInc))</f>
        <v/>
      </c>
      <c r="J161" s="4" t="n"/>
      <c r="K161" s="9">
        <f>IF($C161="","",IF(OR($C161="Truck stock",$C161="Purchase",$C161="Tech expense",$C161="Other"),"Yes","No"))</f>
        <v/>
      </c>
      <c r="L161" s="4" t="n"/>
      <c r="M161" s="9">
        <f>IF($A161="","",COUNTIF($A$2:$A161,$A161))</f>
        <v/>
      </c>
      <c r="N161" s="9">
        <f>IF($A161="","",TEXT($A161,"yyyy-mm-dd")&amp;"#"&amp;$M161)</f>
        <v/>
      </c>
    </row>
    <row r="162">
      <c r="A162" s="8" t="n"/>
      <c r="B162" s="9">
        <f>IF($A162="","",TEXT($A162,"ddd"))</f>
        <v/>
      </c>
      <c r="C162" s="4" t="n"/>
      <c r="D162" s="4" t="n"/>
      <c r="E162" s="4" t="n"/>
      <c r="F162" s="4" t="n"/>
      <c r="G162" s="6" t="n"/>
      <c r="H162" s="11">
        <f>IF($C162="","",IF($C162="Equipment",IFERROR(VLOOKUP($E162,EquipRates,IF(AND($F162&lt;&gt;"",$F162&lt;1),3,2),FALSE),0),IFERROR(VLOOKUP($C162,Trucks,2,FALSE),"")))</f>
        <v/>
      </c>
      <c r="I162" s="11">
        <f>IF($C162="","",CEILING(IF($H162&lt;&gt;"",$H162,IF($G162="",0,$G162))*IF($F162="",1,$F162),RoundInc))</f>
        <v/>
      </c>
      <c r="J162" s="4" t="n"/>
      <c r="K162" s="9">
        <f>IF($C162="","",IF(OR($C162="Truck stock",$C162="Purchase",$C162="Tech expense",$C162="Other"),"Yes","No"))</f>
        <v/>
      </c>
      <c r="L162" s="4" t="n"/>
      <c r="M162" s="9">
        <f>IF($A162="","",COUNTIF($A$2:$A162,$A162))</f>
        <v/>
      </c>
      <c r="N162" s="9">
        <f>IF($A162="","",TEXT($A162,"yyyy-mm-dd")&amp;"#"&amp;$M162)</f>
        <v/>
      </c>
    </row>
    <row r="163">
      <c r="A163" s="8" t="n"/>
      <c r="B163" s="9">
        <f>IF($A163="","",TEXT($A163,"ddd"))</f>
        <v/>
      </c>
      <c r="C163" s="4" t="n"/>
      <c r="D163" s="4" t="n"/>
      <c r="E163" s="4" t="n"/>
      <c r="F163" s="4" t="n"/>
      <c r="G163" s="6" t="n"/>
      <c r="H163" s="11">
        <f>IF($C163="","",IF($C163="Equipment",IFERROR(VLOOKUP($E163,EquipRates,IF(AND($F163&lt;&gt;"",$F163&lt;1),3,2),FALSE),0),IFERROR(VLOOKUP($C163,Trucks,2,FALSE),"")))</f>
        <v/>
      </c>
      <c r="I163" s="11">
        <f>IF($C163="","",CEILING(IF($H163&lt;&gt;"",$H163,IF($G163="",0,$G163))*IF($F163="",1,$F163),RoundInc))</f>
        <v/>
      </c>
      <c r="J163" s="4" t="n"/>
      <c r="K163" s="9">
        <f>IF($C163="","",IF(OR($C163="Truck stock",$C163="Purchase",$C163="Tech expense",$C163="Other"),"Yes","No"))</f>
        <v/>
      </c>
      <c r="L163" s="4" t="n"/>
      <c r="M163" s="9">
        <f>IF($A163="","",COUNTIF($A$2:$A163,$A163))</f>
        <v/>
      </c>
      <c r="N163" s="9">
        <f>IF($A163="","",TEXT($A163,"yyyy-mm-dd")&amp;"#"&amp;$M163)</f>
        <v/>
      </c>
    </row>
    <row r="164">
      <c r="A164" s="8" t="n"/>
      <c r="B164" s="9">
        <f>IF($A164="","",TEXT($A164,"ddd"))</f>
        <v/>
      </c>
      <c r="C164" s="4" t="n"/>
      <c r="D164" s="4" t="n"/>
      <c r="E164" s="4" t="n"/>
      <c r="F164" s="4" t="n"/>
      <c r="G164" s="6" t="n"/>
      <c r="H164" s="11">
        <f>IF($C164="","",IF($C164="Equipment",IFERROR(VLOOKUP($E164,EquipRates,IF(AND($F164&lt;&gt;"",$F164&lt;1),3,2),FALSE),0),IFERROR(VLOOKUP($C164,Trucks,2,FALSE),"")))</f>
        <v/>
      </c>
      <c r="I164" s="11">
        <f>IF($C164="","",CEILING(IF($H164&lt;&gt;"",$H164,IF($G164="",0,$G164))*IF($F164="",1,$F164),RoundInc))</f>
        <v/>
      </c>
      <c r="J164" s="4" t="n"/>
      <c r="K164" s="9">
        <f>IF($C164="","",IF(OR($C164="Truck stock",$C164="Purchase",$C164="Tech expense",$C164="Other"),"Yes","No"))</f>
        <v/>
      </c>
      <c r="L164" s="4" t="n"/>
      <c r="M164" s="9">
        <f>IF($A164="","",COUNTIF($A$2:$A164,$A164))</f>
        <v/>
      </c>
      <c r="N164" s="9">
        <f>IF($A164="","",TEXT($A164,"yyyy-mm-dd")&amp;"#"&amp;$M164)</f>
        <v/>
      </c>
    </row>
    <row r="165">
      <c r="A165" s="8" t="n"/>
      <c r="B165" s="9">
        <f>IF($A165="","",TEXT($A165,"ddd"))</f>
        <v/>
      </c>
      <c r="C165" s="4" t="n"/>
      <c r="D165" s="4" t="n"/>
      <c r="E165" s="4" t="n"/>
      <c r="F165" s="4" t="n"/>
      <c r="G165" s="6" t="n"/>
      <c r="H165" s="11">
        <f>IF($C165="","",IF($C165="Equipment",IFERROR(VLOOKUP($E165,EquipRates,IF(AND($F165&lt;&gt;"",$F165&lt;1),3,2),FALSE),0),IFERROR(VLOOKUP($C165,Trucks,2,FALSE),"")))</f>
        <v/>
      </c>
      <c r="I165" s="11">
        <f>IF($C165="","",CEILING(IF($H165&lt;&gt;"",$H165,IF($G165="",0,$G165))*IF($F165="",1,$F165),RoundInc))</f>
        <v/>
      </c>
      <c r="J165" s="4" t="n"/>
      <c r="K165" s="9">
        <f>IF($C165="","",IF(OR($C165="Truck stock",$C165="Purchase",$C165="Tech expense",$C165="Other"),"Yes","No"))</f>
        <v/>
      </c>
      <c r="L165" s="4" t="n"/>
      <c r="M165" s="9">
        <f>IF($A165="","",COUNTIF($A$2:$A165,$A165))</f>
        <v/>
      </c>
      <c r="N165" s="9">
        <f>IF($A165="","",TEXT($A165,"yyyy-mm-dd")&amp;"#"&amp;$M165)</f>
        <v/>
      </c>
    </row>
    <row r="166">
      <c r="A166" s="8" t="n"/>
      <c r="B166" s="9">
        <f>IF($A166="","",TEXT($A166,"ddd"))</f>
        <v/>
      </c>
      <c r="C166" s="4" t="n"/>
      <c r="D166" s="4" t="n"/>
      <c r="E166" s="4" t="n"/>
      <c r="F166" s="4" t="n"/>
      <c r="G166" s="6" t="n"/>
      <c r="H166" s="11">
        <f>IF($C166="","",IF($C166="Equipment",IFERROR(VLOOKUP($E166,EquipRates,IF(AND($F166&lt;&gt;"",$F166&lt;1),3,2),FALSE),0),IFERROR(VLOOKUP($C166,Trucks,2,FALSE),"")))</f>
        <v/>
      </c>
      <c r="I166" s="11">
        <f>IF($C166="","",CEILING(IF($H166&lt;&gt;"",$H166,IF($G166="",0,$G166))*IF($F166="",1,$F166),RoundInc))</f>
        <v/>
      </c>
      <c r="J166" s="4" t="n"/>
      <c r="K166" s="9">
        <f>IF($C166="","",IF(OR($C166="Truck stock",$C166="Purchase",$C166="Tech expense",$C166="Other"),"Yes","No"))</f>
        <v/>
      </c>
      <c r="L166" s="4" t="n"/>
      <c r="M166" s="9">
        <f>IF($A166="","",COUNTIF($A$2:$A166,$A166))</f>
        <v/>
      </c>
      <c r="N166" s="9">
        <f>IF($A166="","",TEXT($A166,"yyyy-mm-dd")&amp;"#"&amp;$M166)</f>
        <v/>
      </c>
    </row>
    <row r="167">
      <c r="A167" s="8" t="n"/>
      <c r="B167" s="9">
        <f>IF($A167="","",TEXT($A167,"ddd"))</f>
        <v/>
      </c>
      <c r="C167" s="4" t="n"/>
      <c r="D167" s="4" t="n"/>
      <c r="E167" s="4" t="n"/>
      <c r="F167" s="4" t="n"/>
      <c r="G167" s="6" t="n"/>
      <c r="H167" s="11">
        <f>IF($C167="","",IF($C167="Equipment",IFERROR(VLOOKUP($E167,EquipRates,IF(AND($F167&lt;&gt;"",$F167&lt;1),3,2),FALSE),0),IFERROR(VLOOKUP($C167,Trucks,2,FALSE),"")))</f>
        <v/>
      </c>
      <c r="I167" s="11">
        <f>IF($C167="","",CEILING(IF($H167&lt;&gt;"",$H167,IF($G167="",0,$G167))*IF($F167="",1,$F167),RoundInc))</f>
        <v/>
      </c>
      <c r="J167" s="4" t="n"/>
      <c r="K167" s="9">
        <f>IF($C167="","",IF(OR($C167="Truck stock",$C167="Purchase",$C167="Tech expense",$C167="Other"),"Yes","No"))</f>
        <v/>
      </c>
      <c r="L167" s="4" t="n"/>
      <c r="M167" s="9">
        <f>IF($A167="","",COUNTIF($A$2:$A167,$A167))</f>
        <v/>
      </c>
      <c r="N167" s="9">
        <f>IF($A167="","",TEXT($A167,"yyyy-mm-dd")&amp;"#"&amp;$M167)</f>
        <v/>
      </c>
    </row>
    <row r="168">
      <c r="A168" s="8" t="n"/>
      <c r="B168" s="9">
        <f>IF($A168="","",TEXT($A168,"ddd"))</f>
        <v/>
      </c>
      <c r="C168" s="4" t="n"/>
      <c r="D168" s="4" t="n"/>
      <c r="E168" s="4" t="n"/>
      <c r="F168" s="4" t="n"/>
      <c r="G168" s="6" t="n"/>
      <c r="H168" s="11">
        <f>IF($C168="","",IF($C168="Equipment",IFERROR(VLOOKUP($E168,EquipRates,IF(AND($F168&lt;&gt;"",$F168&lt;1),3,2),FALSE),0),IFERROR(VLOOKUP($C168,Trucks,2,FALSE),"")))</f>
        <v/>
      </c>
      <c r="I168" s="11">
        <f>IF($C168="","",CEILING(IF($H168&lt;&gt;"",$H168,IF($G168="",0,$G168))*IF($F168="",1,$F168),RoundInc))</f>
        <v/>
      </c>
      <c r="J168" s="4" t="n"/>
      <c r="K168" s="9">
        <f>IF($C168="","",IF(OR($C168="Truck stock",$C168="Purchase",$C168="Tech expense",$C168="Other"),"Yes","No"))</f>
        <v/>
      </c>
      <c r="L168" s="4" t="n"/>
      <c r="M168" s="9">
        <f>IF($A168="","",COUNTIF($A$2:$A168,$A168))</f>
        <v/>
      </c>
      <c r="N168" s="9">
        <f>IF($A168="","",TEXT($A168,"yyyy-mm-dd")&amp;"#"&amp;$M168)</f>
        <v/>
      </c>
    </row>
    <row r="169">
      <c r="A169" s="8" t="n"/>
      <c r="B169" s="9">
        <f>IF($A169="","",TEXT($A169,"ddd"))</f>
        <v/>
      </c>
      <c r="C169" s="4" t="n"/>
      <c r="D169" s="4" t="n"/>
      <c r="E169" s="4" t="n"/>
      <c r="F169" s="4" t="n"/>
      <c r="G169" s="6" t="n"/>
      <c r="H169" s="11">
        <f>IF($C169="","",IF($C169="Equipment",IFERROR(VLOOKUP($E169,EquipRates,IF(AND($F169&lt;&gt;"",$F169&lt;1),3,2),FALSE),0),IFERROR(VLOOKUP($C169,Trucks,2,FALSE),"")))</f>
        <v/>
      </c>
      <c r="I169" s="11">
        <f>IF($C169="","",CEILING(IF($H169&lt;&gt;"",$H169,IF($G169="",0,$G169))*IF($F169="",1,$F169),RoundInc))</f>
        <v/>
      </c>
      <c r="J169" s="4" t="n"/>
      <c r="K169" s="9">
        <f>IF($C169="","",IF(OR($C169="Truck stock",$C169="Purchase",$C169="Tech expense",$C169="Other"),"Yes","No"))</f>
        <v/>
      </c>
      <c r="L169" s="4" t="n"/>
      <c r="M169" s="9">
        <f>IF($A169="","",COUNTIF($A$2:$A169,$A169))</f>
        <v/>
      </c>
      <c r="N169" s="9">
        <f>IF($A169="","",TEXT($A169,"yyyy-mm-dd")&amp;"#"&amp;$M169)</f>
        <v/>
      </c>
    </row>
    <row r="170">
      <c r="A170" s="8" t="n"/>
      <c r="B170" s="9">
        <f>IF($A170="","",TEXT($A170,"ddd"))</f>
        <v/>
      </c>
      <c r="C170" s="4" t="n"/>
      <c r="D170" s="4" t="n"/>
      <c r="E170" s="4" t="n"/>
      <c r="F170" s="4" t="n"/>
      <c r="G170" s="6" t="n"/>
      <c r="H170" s="11">
        <f>IF($C170="","",IF($C170="Equipment",IFERROR(VLOOKUP($E170,EquipRates,IF(AND($F170&lt;&gt;"",$F170&lt;1),3,2),FALSE),0),IFERROR(VLOOKUP($C170,Trucks,2,FALSE),"")))</f>
        <v/>
      </c>
      <c r="I170" s="11">
        <f>IF($C170="","",CEILING(IF($H170&lt;&gt;"",$H170,IF($G170="",0,$G170))*IF($F170="",1,$F170),RoundInc))</f>
        <v/>
      </c>
      <c r="J170" s="4" t="n"/>
      <c r="K170" s="9">
        <f>IF($C170="","",IF(OR($C170="Truck stock",$C170="Purchase",$C170="Tech expense",$C170="Other"),"Yes","No"))</f>
        <v/>
      </c>
      <c r="L170" s="4" t="n"/>
      <c r="M170" s="9">
        <f>IF($A170="","",COUNTIF($A$2:$A170,$A170))</f>
        <v/>
      </c>
      <c r="N170" s="9">
        <f>IF($A170="","",TEXT($A170,"yyyy-mm-dd")&amp;"#"&amp;$M170)</f>
        <v/>
      </c>
    </row>
    <row r="171">
      <c r="A171" s="8" t="n"/>
      <c r="B171" s="9">
        <f>IF($A171="","",TEXT($A171,"ddd"))</f>
        <v/>
      </c>
      <c r="C171" s="4" t="n"/>
      <c r="D171" s="4" t="n"/>
      <c r="E171" s="4" t="n"/>
      <c r="F171" s="4" t="n"/>
      <c r="G171" s="6" t="n"/>
      <c r="H171" s="11">
        <f>IF($C171="","",IF($C171="Equipment",IFERROR(VLOOKUP($E171,EquipRates,IF(AND($F171&lt;&gt;"",$F171&lt;1),3,2),FALSE),0),IFERROR(VLOOKUP($C171,Trucks,2,FALSE),"")))</f>
        <v/>
      </c>
      <c r="I171" s="11">
        <f>IF($C171="","",CEILING(IF($H171&lt;&gt;"",$H171,IF($G171="",0,$G171))*IF($F171="",1,$F171),RoundInc))</f>
        <v/>
      </c>
      <c r="J171" s="4" t="n"/>
      <c r="K171" s="9">
        <f>IF($C171="","",IF(OR($C171="Truck stock",$C171="Purchase",$C171="Tech expense",$C171="Other"),"Yes","No"))</f>
        <v/>
      </c>
      <c r="L171" s="4" t="n"/>
      <c r="M171" s="9">
        <f>IF($A171="","",COUNTIF($A$2:$A171,$A171))</f>
        <v/>
      </c>
      <c r="N171" s="9">
        <f>IF($A171="","",TEXT($A171,"yyyy-mm-dd")&amp;"#"&amp;$M171)</f>
        <v/>
      </c>
    </row>
    <row r="172">
      <c r="A172" s="8" t="n"/>
      <c r="B172" s="9">
        <f>IF($A172="","",TEXT($A172,"ddd"))</f>
        <v/>
      </c>
      <c r="C172" s="4" t="n"/>
      <c r="D172" s="4" t="n"/>
      <c r="E172" s="4" t="n"/>
      <c r="F172" s="4" t="n"/>
      <c r="G172" s="6" t="n"/>
      <c r="H172" s="11">
        <f>IF($C172="","",IF($C172="Equipment",IFERROR(VLOOKUP($E172,EquipRates,IF(AND($F172&lt;&gt;"",$F172&lt;1),3,2),FALSE),0),IFERROR(VLOOKUP($C172,Trucks,2,FALSE),"")))</f>
        <v/>
      </c>
      <c r="I172" s="11">
        <f>IF($C172="","",CEILING(IF($H172&lt;&gt;"",$H172,IF($G172="",0,$G172))*IF($F172="",1,$F172),RoundInc))</f>
        <v/>
      </c>
      <c r="J172" s="4" t="n"/>
      <c r="K172" s="9">
        <f>IF($C172="","",IF(OR($C172="Truck stock",$C172="Purchase",$C172="Tech expense",$C172="Other"),"Yes","No"))</f>
        <v/>
      </c>
      <c r="L172" s="4" t="n"/>
      <c r="M172" s="9">
        <f>IF($A172="","",COUNTIF($A$2:$A172,$A172))</f>
        <v/>
      </c>
      <c r="N172" s="9">
        <f>IF($A172="","",TEXT($A172,"yyyy-mm-dd")&amp;"#"&amp;$M172)</f>
        <v/>
      </c>
    </row>
    <row r="173">
      <c r="A173" s="8" t="n"/>
      <c r="B173" s="9">
        <f>IF($A173="","",TEXT($A173,"ddd"))</f>
        <v/>
      </c>
      <c r="C173" s="4" t="n"/>
      <c r="D173" s="4" t="n"/>
      <c r="E173" s="4" t="n"/>
      <c r="F173" s="4" t="n"/>
      <c r="G173" s="6" t="n"/>
      <c r="H173" s="11">
        <f>IF($C173="","",IF($C173="Equipment",IFERROR(VLOOKUP($E173,EquipRates,IF(AND($F173&lt;&gt;"",$F173&lt;1),3,2),FALSE),0),IFERROR(VLOOKUP($C173,Trucks,2,FALSE),"")))</f>
        <v/>
      </c>
      <c r="I173" s="11">
        <f>IF($C173="","",CEILING(IF($H173&lt;&gt;"",$H173,IF($G173="",0,$G173))*IF($F173="",1,$F173),RoundInc))</f>
        <v/>
      </c>
      <c r="J173" s="4" t="n"/>
      <c r="K173" s="9">
        <f>IF($C173="","",IF(OR($C173="Truck stock",$C173="Purchase",$C173="Tech expense",$C173="Other"),"Yes","No"))</f>
        <v/>
      </c>
      <c r="L173" s="4" t="n"/>
      <c r="M173" s="9">
        <f>IF($A173="","",COUNTIF($A$2:$A173,$A173))</f>
        <v/>
      </c>
      <c r="N173" s="9">
        <f>IF($A173="","",TEXT($A173,"yyyy-mm-dd")&amp;"#"&amp;$M173)</f>
        <v/>
      </c>
    </row>
    <row r="174">
      <c r="A174" s="8" t="n"/>
      <c r="B174" s="9">
        <f>IF($A174="","",TEXT($A174,"ddd"))</f>
        <v/>
      </c>
      <c r="C174" s="4" t="n"/>
      <c r="D174" s="4" t="n"/>
      <c r="E174" s="4" t="n"/>
      <c r="F174" s="4" t="n"/>
      <c r="G174" s="6" t="n"/>
      <c r="H174" s="11">
        <f>IF($C174="","",IF($C174="Equipment",IFERROR(VLOOKUP($E174,EquipRates,IF(AND($F174&lt;&gt;"",$F174&lt;1),3,2),FALSE),0),IFERROR(VLOOKUP($C174,Trucks,2,FALSE),"")))</f>
        <v/>
      </c>
      <c r="I174" s="11">
        <f>IF($C174="","",CEILING(IF($H174&lt;&gt;"",$H174,IF($G174="",0,$G174))*IF($F174="",1,$F174),RoundInc))</f>
        <v/>
      </c>
      <c r="J174" s="4" t="n"/>
      <c r="K174" s="9">
        <f>IF($C174="","",IF(OR($C174="Truck stock",$C174="Purchase",$C174="Tech expense",$C174="Other"),"Yes","No"))</f>
        <v/>
      </c>
      <c r="L174" s="4" t="n"/>
      <c r="M174" s="9">
        <f>IF($A174="","",COUNTIF($A$2:$A174,$A174))</f>
        <v/>
      </c>
      <c r="N174" s="9">
        <f>IF($A174="","",TEXT($A174,"yyyy-mm-dd")&amp;"#"&amp;$M174)</f>
        <v/>
      </c>
    </row>
    <row r="175">
      <c r="A175" s="8" t="n"/>
      <c r="B175" s="9">
        <f>IF($A175="","",TEXT($A175,"ddd"))</f>
        <v/>
      </c>
      <c r="C175" s="4" t="n"/>
      <c r="D175" s="4" t="n"/>
      <c r="E175" s="4" t="n"/>
      <c r="F175" s="4" t="n"/>
      <c r="G175" s="6" t="n"/>
      <c r="H175" s="11">
        <f>IF($C175="","",IF($C175="Equipment",IFERROR(VLOOKUP($E175,EquipRates,IF(AND($F175&lt;&gt;"",$F175&lt;1),3,2),FALSE),0),IFERROR(VLOOKUP($C175,Trucks,2,FALSE),"")))</f>
        <v/>
      </c>
      <c r="I175" s="11">
        <f>IF($C175="","",CEILING(IF($H175&lt;&gt;"",$H175,IF($G175="",0,$G175))*IF($F175="",1,$F175),RoundInc))</f>
        <v/>
      </c>
      <c r="J175" s="4" t="n"/>
      <c r="K175" s="9">
        <f>IF($C175="","",IF(OR($C175="Truck stock",$C175="Purchase",$C175="Tech expense",$C175="Other"),"Yes","No"))</f>
        <v/>
      </c>
      <c r="L175" s="4" t="n"/>
      <c r="M175" s="9">
        <f>IF($A175="","",COUNTIF($A$2:$A175,$A175))</f>
        <v/>
      </c>
      <c r="N175" s="9">
        <f>IF($A175="","",TEXT($A175,"yyyy-mm-dd")&amp;"#"&amp;$M175)</f>
        <v/>
      </c>
    </row>
    <row r="176">
      <c r="A176" s="8" t="n"/>
      <c r="B176" s="9">
        <f>IF($A176="","",TEXT($A176,"ddd"))</f>
        <v/>
      </c>
      <c r="C176" s="4" t="n"/>
      <c r="D176" s="4" t="n"/>
      <c r="E176" s="4" t="n"/>
      <c r="F176" s="4" t="n"/>
      <c r="G176" s="6" t="n"/>
      <c r="H176" s="11">
        <f>IF($C176="","",IF($C176="Equipment",IFERROR(VLOOKUP($E176,EquipRates,IF(AND($F176&lt;&gt;"",$F176&lt;1),3,2),FALSE),0),IFERROR(VLOOKUP($C176,Trucks,2,FALSE),"")))</f>
        <v/>
      </c>
      <c r="I176" s="11">
        <f>IF($C176="","",CEILING(IF($H176&lt;&gt;"",$H176,IF($G176="",0,$G176))*IF($F176="",1,$F176),RoundInc))</f>
        <v/>
      </c>
      <c r="J176" s="4" t="n"/>
      <c r="K176" s="9">
        <f>IF($C176="","",IF(OR($C176="Truck stock",$C176="Purchase",$C176="Tech expense",$C176="Other"),"Yes","No"))</f>
        <v/>
      </c>
      <c r="L176" s="4" t="n"/>
      <c r="M176" s="9">
        <f>IF($A176="","",COUNTIF($A$2:$A176,$A176))</f>
        <v/>
      </c>
      <c r="N176" s="9">
        <f>IF($A176="","",TEXT($A176,"yyyy-mm-dd")&amp;"#"&amp;$M176)</f>
        <v/>
      </c>
    </row>
    <row r="177">
      <c r="A177" s="8" t="n"/>
      <c r="B177" s="9">
        <f>IF($A177="","",TEXT($A177,"ddd"))</f>
        <v/>
      </c>
      <c r="C177" s="4" t="n"/>
      <c r="D177" s="4" t="n"/>
      <c r="E177" s="4" t="n"/>
      <c r="F177" s="4" t="n"/>
      <c r="G177" s="6" t="n"/>
      <c r="H177" s="11">
        <f>IF($C177="","",IF($C177="Equipment",IFERROR(VLOOKUP($E177,EquipRates,IF(AND($F177&lt;&gt;"",$F177&lt;1),3,2),FALSE),0),IFERROR(VLOOKUP($C177,Trucks,2,FALSE),"")))</f>
        <v/>
      </c>
      <c r="I177" s="11">
        <f>IF($C177="","",CEILING(IF($H177&lt;&gt;"",$H177,IF($G177="",0,$G177))*IF($F177="",1,$F177),RoundInc))</f>
        <v/>
      </c>
      <c r="J177" s="4" t="n"/>
      <c r="K177" s="9">
        <f>IF($C177="","",IF(OR($C177="Truck stock",$C177="Purchase",$C177="Tech expense",$C177="Other"),"Yes","No"))</f>
        <v/>
      </c>
      <c r="L177" s="4" t="n"/>
      <c r="M177" s="9">
        <f>IF($A177="","",COUNTIF($A$2:$A177,$A177))</f>
        <v/>
      </c>
      <c r="N177" s="9">
        <f>IF($A177="","",TEXT($A177,"yyyy-mm-dd")&amp;"#"&amp;$M177)</f>
        <v/>
      </c>
    </row>
    <row r="178">
      <c r="A178" s="8" t="n"/>
      <c r="B178" s="9">
        <f>IF($A178="","",TEXT($A178,"ddd"))</f>
        <v/>
      </c>
      <c r="C178" s="4" t="n"/>
      <c r="D178" s="4" t="n"/>
      <c r="E178" s="4" t="n"/>
      <c r="F178" s="4" t="n"/>
      <c r="G178" s="6" t="n"/>
      <c r="H178" s="11">
        <f>IF($C178="","",IF($C178="Equipment",IFERROR(VLOOKUP($E178,EquipRates,IF(AND($F178&lt;&gt;"",$F178&lt;1),3,2),FALSE),0),IFERROR(VLOOKUP($C178,Trucks,2,FALSE),"")))</f>
        <v/>
      </c>
      <c r="I178" s="11">
        <f>IF($C178="","",CEILING(IF($H178&lt;&gt;"",$H178,IF($G178="",0,$G178))*IF($F178="",1,$F178),RoundInc))</f>
        <v/>
      </c>
      <c r="J178" s="4" t="n"/>
      <c r="K178" s="9">
        <f>IF($C178="","",IF(OR($C178="Truck stock",$C178="Purchase",$C178="Tech expense",$C178="Other"),"Yes","No"))</f>
        <v/>
      </c>
      <c r="L178" s="4" t="n"/>
      <c r="M178" s="9">
        <f>IF($A178="","",COUNTIF($A$2:$A178,$A178))</f>
        <v/>
      </c>
      <c r="N178" s="9">
        <f>IF($A178="","",TEXT($A178,"yyyy-mm-dd")&amp;"#"&amp;$M178)</f>
        <v/>
      </c>
    </row>
    <row r="179">
      <c r="A179" s="8" t="n"/>
      <c r="B179" s="9">
        <f>IF($A179="","",TEXT($A179,"ddd"))</f>
        <v/>
      </c>
      <c r="C179" s="4" t="n"/>
      <c r="D179" s="4" t="n"/>
      <c r="E179" s="4" t="n"/>
      <c r="F179" s="4" t="n"/>
      <c r="G179" s="6" t="n"/>
      <c r="H179" s="11">
        <f>IF($C179="","",IF($C179="Equipment",IFERROR(VLOOKUP($E179,EquipRates,IF(AND($F179&lt;&gt;"",$F179&lt;1),3,2),FALSE),0),IFERROR(VLOOKUP($C179,Trucks,2,FALSE),"")))</f>
        <v/>
      </c>
      <c r="I179" s="11">
        <f>IF($C179="","",CEILING(IF($H179&lt;&gt;"",$H179,IF($G179="",0,$G179))*IF($F179="",1,$F179),RoundInc))</f>
        <v/>
      </c>
      <c r="J179" s="4" t="n"/>
      <c r="K179" s="9">
        <f>IF($C179="","",IF(OR($C179="Truck stock",$C179="Purchase",$C179="Tech expense",$C179="Other"),"Yes","No"))</f>
        <v/>
      </c>
      <c r="L179" s="4" t="n"/>
      <c r="M179" s="9">
        <f>IF($A179="","",COUNTIF($A$2:$A179,$A179))</f>
        <v/>
      </c>
      <c r="N179" s="9">
        <f>IF($A179="","",TEXT($A179,"yyyy-mm-dd")&amp;"#"&amp;$M179)</f>
        <v/>
      </c>
    </row>
    <row r="180">
      <c r="A180" s="8" t="n"/>
      <c r="B180" s="9">
        <f>IF($A180="","",TEXT($A180,"ddd"))</f>
        <v/>
      </c>
      <c r="C180" s="4" t="n"/>
      <c r="D180" s="4" t="n"/>
      <c r="E180" s="4" t="n"/>
      <c r="F180" s="4" t="n"/>
      <c r="G180" s="6" t="n"/>
      <c r="H180" s="11">
        <f>IF($C180="","",IF($C180="Equipment",IFERROR(VLOOKUP($E180,EquipRates,IF(AND($F180&lt;&gt;"",$F180&lt;1),3,2),FALSE),0),IFERROR(VLOOKUP($C180,Trucks,2,FALSE),"")))</f>
        <v/>
      </c>
      <c r="I180" s="11">
        <f>IF($C180="","",CEILING(IF($H180&lt;&gt;"",$H180,IF($G180="",0,$G180))*IF($F180="",1,$F180),RoundInc))</f>
        <v/>
      </c>
      <c r="J180" s="4" t="n"/>
      <c r="K180" s="9">
        <f>IF($C180="","",IF(OR($C180="Truck stock",$C180="Purchase",$C180="Tech expense",$C180="Other"),"Yes","No"))</f>
        <v/>
      </c>
      <c r="L180" s="4" t="n"/>
      <c r="M180" s="9">
        <f>IF($A180="","",COUNTIF($A$2:$A180,$A180))</f>
        <v/>
      </c>
      <c r="N180" s="9">
        <f>IF($A180="","",TEXT($A180,"yyyy-mm-dd")&amp;"#"&amp;$M180)</f>
        <v/>
      </c>
    </row>
    <row r="181">
      <c r="A181" s="8" t="n"/>
      <c r="B181" s="9">
        <f>IF($A181="","",TEXT($A181,"ddd"))</f>
        <v/>
      </c>
      <c r="C181" s="4" t="n"/>
      <c r="D181" s="4" t="n"/>
      <c r="E181" s="4" t="n"/>
      <c r="F181" s="4" t="n"/>
      <c r="G181" s="6" t="n"/>
      <c r="H181" s="11">
        <f>IF($C181="","",IF($C181="Equipment",IFERROR(VLOOKUP($E181,EquipRates,IF(AND($F181&lt;&gt;"",$F181&lt;1),3,2),FALSE),0),IFERROR(VLOOKUP($C181,Trucks,2,FALSE),"")))</f>
        <v/>
      </c>
      <c r="I181" s="11">
        <f>IF($C181="","",CEILING(IF($H181&lt;&gt;"",$H181,IF($G181="",0,$G181))*IF($F181="",1,$F181),RoundInc))</f>
        <v/>
      </c>
      <c r="J181" s="4" t="n"/>
      <c r="K181" s="9">
        <f>IF($C181="","",IF(OR($C181="Truck stock",$C181="Purchase",$C181="Tech expense",$C181="Other"),"Yes","No"))</f>
        <v/>
      </c>
      <c r="L181" s="4" t="n"/>
      <c r="M181" s="9">
        <f>IF($A181="","",COUNTIF($A$2:$A181,$A181))</f>
        <v/>
      </c>
      <c r="N181" s="9">
        <f>IF($A181="","",TEXT($A181,"yyyy-mm-dd")&amp;"#"&amp;$M181)</f>
        <v/>
      </c>
    </row>
    <row r="182">
      <c r="A182" s="8" t="n"/>
      <c r="B182" s="9">
        <f>IF($A182="","",TEXT($A182,"ddd"))</f>
        <v/>
      </c>
      <c r="C182" s="4" t="n"/>
      <c r="D182" s="4" t="n"/>
      <c r="E182" s="4" t="n"/>
      <c r="F182" s="4" t="n"/>
      <c r="G182" s="6" t="n"/>
      <c r="H182" s="11">
        <f>IF($C182="","",IF($C182="Equipment",IFERROR(VLOOKUP($E182,EquipRates,IF(AND($F182&lt;&gt;"",$F182&lt;1),3,2),FALSE),0),IFERROR(VLOOKUP($C182,Trucks,2,FALSE),"")))</f>
        <v/>
      </c>
      <c r="I182" s="11">
        <f>IF($C182="","",CEILING(IF($H182&lt;&gt;"",$H182,IF($G182="",0,$G182))*IF($F182="",1,$F182),RoundInc))</f>
        <v/>
      </c>
      <c r="J182" s="4" t="n"/>
      <c r="K182" s="9">
        <f>IF($C182="","",IF(OR($C182="Truck stock",$C182="Purchase",$C182="Tech expense",$C182="Other"),"Yes","No"))</f>
        <v/>
      </c>
      <c r="L182" s="4" t="n"/>
      <c r="M182" s="9">
        <f>IF($A182="","",COUNTIF($A$2:$A182,$A182))</f>
        <v/>
      </c>
      <c r="N182" s="9">
        <f>IF($A182="","",TEXT($A182,"yyyy-mm-dd")&amp;"#"&amp;$M182)</f>
        <v/>
      </c>
    </row>
    <row r="183">
      <c r="A183" s="8" t="n"/>
      <c r="B183" s="9">
        <f>IF($A183="","",TEXT($A183,"ddd"))</f>
        <v/>
      </c>
      <c r="C183" s="4" t="n"/>
      <c r="D183" s="4" t="n"/>
      <c r="E183" s="4" t="n"/>
      <c r="F183" s="4" t="n"/>
      <c r="G183" s="6" t="n"/>
      <c r="H183" s="11">
        <f>IF($C183="","",IF($C183="Equipment",IFERROR(VLOOKUP($E183,EquipRates,IF(AND($F183&lt;&gt;"",$F183&lt;1),3,2),FALSE),0),IFERROR(VLOOKUP($C183,Trucks,2,FALSE),"")))</f>
        <v/>
      </c>
      <c r="I183" s="11">
        <f>IF($C183="","",CEILING(IF($H183&lt;&gt;"",$H183,IF($G183="",0,$G183))*IF($F183="",1,$F183),RoundInc))</f>
        <v/>
      </c>
      <c r="J183" s="4" t="n"/>
      <c r="K183" s="9">
        <f>IF($C183="","",IF(OR($C183="Truck stock",$C183="Purchase",$C183="Tech expense",$C183="Other"),"Yes","No"))</f>
        <v/>
      </c>
      <c r="L183" s="4" t="n"/>
      <c r="M183" s="9">
        <f>IF($A183="","",COUNTIF($A$2:$A183,$A183))</f>
        <v/>
      </c>
      <c r="N183" s="9">
        <f>IF($A183="","",TEXT($A183,"yyyy-mm-dd")&amp;"#"&amp;$M183)</f>
        <v/>
      </c>
    </row>
    <row r="184">
      <c r="A184" s="8" t="n"/>
      <c r="B184" s="9">
        <f>IF($A184="","",TEXT($A184,"ddd"))</f>
        <v/>
      </c>
      <c r="C184" s="4" t="n"/>
      <c r="D184" s="4" t="n"/>
      <c r="E184" s="4" t="n"/>
      <c r="F184" s="4" t="n"/>
      <c r="G184" s="6" t="n"/>
      <c r="H184" s="11">
        <f>IF($C184="","",IF($C184="Equipment",IFERROR(VLOOKUP($E184,EquipRates,IF(AND($F184&lt;&gt;"",$F184&lt;1),3,2),FALSE),0),IFERROR(VLOOKUP($C184,Trucks,2,FALSE),"")))</f>
        <v/>
      </c>
      <c r="I184" s="11">
        <f>IF($C184="","",CEILING(IF($H184&lt;&gt;"",$H184,IF($G184="",0,$G184))*IF($F184="",1,$F184),RoundInc))</f>
        <v/>
      </c>
      <c r="J184" s="4" t="n"/>
      <c r="K184" s="9">
        <f>IF($C184="","",IF(OR($C184="Truck stock",$C184="Purchase",$C184="Tech expense",$C184="Other"),"Yes","No"))</f>
        <v/>
      </c>
      <c r="L184" s="4" t="n"/>
      <c r="M184" s="9">
        <f>IF($A184="","",COUNTIF($A$2:$A184,$A184))</f>
        <v/>
      </c>
      <c r="N184" s="9">
        <f>IF($A184="","",TEXT($A184,"yyyy-mm-dd")&amp;"#"&amp;$M184)</f>
        <v/>
      </c>
    </row>
    <row r="185">
      <c r="A185" s="8" t="n"/>
      <c r="B185" s="9">
        <f>IF($A185="","",TEXT($A185,"ddd"))</f>
        <v/>
      </c>
      <c r="C185" s="4" t="n"/>
      <c r="D185" s="4" t="n"/>
      <c r="E185" s="4" t="n"/>
      <c r="F185" s="4" t="n"/>
      <c r="G185" s="6" t="n"/>
      <c r="H185" s="11">
        <f>IF($C185="","",IF($C185="Equipment",IFERROR(VLOOKUP($E185,EquipRates,IF(AND($F185&lt;&gt;"",$F185&lt;1),3,2),FALSE),0),IFERROR(VLOOKUP($C185,Trucks,2,FALSE),"")))</f>
        <v/>
      </c>
      <c r="I185" s="11">
        <f>IF($C185="","",CEILING(IF($H185&lt;&gt;"",$H185,IF($G185="",0,$G185))*IF($F185="",1,$F185),RoundInc))</f>
        <v/>
      </c>
      <c r="J185" s="4" t="n"/>
      <c r="K185" s="9">
        <f>IF($C185="","",IF(OR($C185="Truck stock",$C185="Purchase",$C185="Tech expense",$C185="Other"),"Yes","No"))</f>
        <v/>
      </c>
      <c r="L185" s="4" t="n"/>
      <c r="M185" s="9">
        <f>IF($A185="","",COUNTIF($A$2:$A185,$A185))</f>
        <v/>
      </c>
      <c r="N185" s="9">
        <f>IF($A185="","",TEXT($A185,"yyyy-mm-dd")&amp;"#"&amp;$M185)</f>
        <v/>
      </c>
    </row>
    <row r="186">
      <c r="A186" s="8" t="n"/>
      <c r="B186" s="9">
        <f>IF($A186="","",TEXT($A186,"ddd"))</f>
        <v/>
      </c>
      <c r="C186" s="4" t="n"/>
      <c r="D186" s="4" t="n"/>
      <c r="E186" s="4" t="n"/>
      <c r="F186" s="4" t="n"/>
      <c r="G186" s="6" t="n"/>
      <c r="H186" s="11">
        <f>IF($C186="","",IF($C186="Equipment",IFERROR(VLOOKUP($E186,EquipRates,IF(AND($F186&lt;&gt;"",$F186&lt;1),3,2),FALSE),0),IFERROR(VLOOKUP($C186,Trucks,2,FALSE),"")))</f>
        <v/>
      </c>
      <c r="I186" s="11">
        <f>IF($C186="","",CEILING(IF($H186&lt;&gt;"",$H186,IF($G186="",0,$G186))*IF($F186="",1,$F186),RoundInc))</f>
        <v/>
      </c>
      <c r="J186" s="4" t="n"/>
      <c r="K186" s="9">
        <f>IF($C186="","",IF(OR($C186="Truck stock",$C186="Purchase",$C186="Tech expense",$C186="Other"),"Yes","No"))</f>
        <v/>
      </c>
      <c r="L186" s="4" t="n"/>
      <c r="M186" s="9">
        <f>IF($A186="","",COUNTIF($A$2:$A186,$A186))</f>
        <v/>
      </c>
      <c r="N186" s="9">
        <f>IF($A186="","",TEXT($A186,"yyyy-mm-dd")&amp;"#"&amp;$M186)</f>
        <v/>
      </c>
    </row>
    <row r="187">
      <c r="A187" s="8" t="n"/>
      <c r="B187" s="9">
        <f>IF($A187="","",TEXT($A187,"ddd"))</f>
        <v/>
      </c>
      <c r="C187" s="4" t="n"/>
      <c r="D187" s="4" t="n"/>
      <c r="E187" s="4" t="n"/>
      <c r="F187" s="4" t="n"/>
      <c r="G187" s="6" t="n"/>
      <c r="H187" s="11">
        <f>IF($C187="","",IF($C187="Equipment",IFERROR(VLOOKUP($E187,EquipRates,IF(AND($F187&lt;&gt;"",$F187&lt;1),3,2),FALSE),0),IFERROR(VLOOKUP($C187,Trucks,2,FALSE),"")))</f>
        <v/>
      </c>
      <c r="I187" s="11">
        <f>IF($C187="","",CEILING(IF($H187&lt;&gt;"",$H187,IF($G187="",0,$G187))*IF($F187="",1,$F187),RoundInc))</f>
        <v/>
      </c>
      <c r="J187" s="4" t="n"/>
      <c r="K187" s="9">
        <f>IF($C187="","",IF(OR($C187="Truck stock",$C187="Purchase",$C187="Tech expense",$C187="Other"),"Yes","No"))</f>
        <v/>
      </c>
      <c r="L187" s="4" t="n"/>
      <c r="M187" s="9">
        <f>IF($A187="","",COUNTIF($A$2:$A187,$A187))</f>
        <v/>
      </c>
      <c r="N187" s="9">
        <f>IF($A187="","",TEXT($A187,"yyyy-mm-dd")&amp;"#"&amp;$M187)</f>
        <v/>
      </c>
    </row>
    <row r="188">
      <c r="A188" s="8" t="n"/>
      <c r="B188" s="9">
        <f>IF($A188="","",TEXT($A188,"ddd"))</f>
        <v/>
      </c>
      <c r="C188" s="4" t="n"/>
      <c r="D188" s="4" t="n"/>
      <c r="E188" s="4" t="n"/>
      <c r="F188" s="4" t="n"/>
      <c r="G188" s="6" t="n"/>
      <c r="H188" s="11">
        <f>IF($C188="","",IF($C188="Equipment",IFERROR(VLOOKUP($E188,EquipRates,IF(AND($F188&lt;&gt;"",$F188&lt;1),3,2),FALSE),0),IFERROR(VLOOKUP($C188,Trucks,2,FALSE),"")))</f>
        <v/>
      </c>
      <c r="I188" s="11">
        <f>IF($C188="","",CEILING(IF($H188&lt;&gt;"",$H188,IF($G188="",0,$G188))*IF($F188="",1,$F188),RoundInc))</f>
        <v/>
      </c>
      <c r="J188" s="4" t="n"/>
      <c r="K188" s="9">
        <f>IF($C188="","",IF(OR($C188="Truck stock",$C188="Purchase",$C188="Tech expense",$C188="Other"),"Yes","No"))</f>
        <v/>
      </c>
      <c r="L188" s="4" t="n"/>
      <c r="M188" s="9">
        <f>IF($A188="","",COUNTIF($A$2:$A188,$A188))</f>
        <v/>
      </c>
      <c r="N188" s="9">
        <f>IF($A188="","",TEXT($A188,"yyyy-mm-dd")&amp;"#"&amp;$M188)</f>
        <v/>
      </c>
    </row>
    <row r="189">
      <c r="A189" s="8" t="n"/>
      <c r="B189" s="9">
        <f>IF($A189="","",TEXT($A189,"ddd"))</f>
        <v/>
      </c>
      <c r="C189" s="4" t="n"/>
      <c r="D189" s="4" t="n"/>
      <c r="E189" s="4" t="n"/>
      <c r="F189" s="4" t="n"/>
      <c r="G189" s="6" t="n"/>
      <c r="H189" s="11">
        <f>IF($C189="","",IF($C189="Equipment",IFERROR(VLOOKUP($E189,EquipRates,IF(AND($F189&lt;&gt;"",$F189&lt;1),3,2),FALSE),0),IFERROR(VLOOKUP($C189,Trucks,2,FALSE),"")))</f>
        <v/>
      </c>
      <c r="I189" s="11">
        <f>IF($C189="","",CEILING(IF($H189&lt;&gt;"",$H189,IF($G189="",0,$G189))*IF($F189="",1,$F189),RoundInc))</f>
        <v/>
      </c>
      <c r="J189" s="4" t="n"/>
      <c r="K189" s="9">
        <f>IF($C189="","",IF(OR($C189="Truck stock",$C189="Purchase",$C189="Tech expense",$C189="Other"),"Yes","No"))</f>
        <v/>
      </c>
      <c r="L189" s="4" t="n"/>
      <c r="M189" s="9">
        <f>IF($A189="","",COUNTIF($A$2:$A189,$A189))</f>
        <v/>
      </c>
      <c r="N189" s="9">
        <f>IF($A189="","",TEXT($A189,"yyyy-mm-dd")&amp;"#"&amp;$M189)</f>
        <v/>
      </c>
    </row>
    <row r="190">
      <c r="A190" s="8" t="n"/>
      <c r="B190" s="9">
        <f>IF($A190="","",TEXT($A190,"ddd"))</f>
        <v/>
      </c>
      <c r="C190" s="4" t="n"/>
      <c r="D190" s="4" t="n"/>
      <c r="E190" s="4" t="n"/>
      <c r="F190" s="4" t="n"/>
      <c r="G190" s="6" t="n"/>
      <c r="H190" s="11">
        <f>IF($C190="","",IF($C190="Equipment",IFERROR(VLOOKUP($E190,EquipRates,IF(AND($F190&lt;&gt;"",$F190&lt;1),3,2),FALSE),0),IFERROR(VLOOKUP($C190,Trucks,2,FALSE),"")))</f>
        <v/>
      </c>
      <c r="I190" s="11">
        <f>IF($C190="","",CEILING(IF($H190&lt;&gt;"",$H190,IF($G190="",0,$G190))*IF($F190="",1,$F190),RoundInc))</f>
        <v/>
      </c>
      <c r="J190" s="4" t="n"/>
      <c r="K190" s="9">
        <f>IF($C190="","",IF(OR($C190="Truck stock",$C190="Purchase",$C190="Tech expense",$C190="Other"),"Yes","No"))</f>
        <v/>
      </c>
      <c r="L190" s="4" t="n"/>
      <c r="M190" s="9">
        <f>IF($A190="","",COUNTIF($A$2:$A190,$A190))</f>
        <v/>
      </c>
      <c r="N190" s="9">
        <f>IF($A190="","",TEXT($A190,"yyyy-mm-dd")&amp;"#"&amp;$M190)</f>
        <v/>
      </c>
    </row>
    <row r="191">
      <c r="A191" s="8" t="n"/>
      <c r="B191" s="9">
        <f>IF($A191="","",TEXT($A191,"ddd"))</f>
        <v/>
      </c>
      <c r="C191" s="4" t="n"/>
      <c r="D191" s="4" t="n"/>
      <c r="E191" s="4" t="n"/>
      <c r="F191" s="4" t="n"/>
      <c r="G191" s="6" t="n"/>
      <c r="H191" s="11">
        <f>IF($C191="","",IF($C191="Equipment",IFERROR(VLOOKUP($E191,EquipRates,IF(AND($F191&lt;&gt;"",$F191&lt;1),3,2),FALSE),0),IFERROR(VLOOKUP($C191,Trucks,2,FALSE),"")))</f>
        <v/>
      </c>
      <c r="I191" s="11">
        <f>IF($C191="","",CEILING(IF($H191&lt;&gt;"",$H191,IF($G191="",0,$G191))*IF($F191="",1,$F191),RoundInc))</f>
        <v/>
      </c>
      <c r="J191" s="4" t="n"/>
      <c r="K191" s="9">
        <f>IF($C191="","",IF(OR($C191="Truck stock",$C191="Purchase",$C191="Tech expense",$C191="Other"),"Yes","No"))</f>
        <v/>
      </c>
      <c r="L191" s="4" t="n"/>
      <c r="M191" s="9">
        <f>IF($A191="","",COUNTIF($A$2:$A191,$A191))</f>
        <v/>
      </c>
      <c r="N191" s="9">
        <f>IF($A191="","",TEXT($A191,"yyyy-mm-dd")&amp;"#"&amp;$M191)</f>
        <v/>
      </c>
    </row>
    <row r="192">
      <c r="A192" s="8" t="n"/>
      <c r="B192" s="9">
        <f>IF($A192="","",TEXT($A192,"ddd"))</f>
        <v/>
      </c>
      <c r="C192" s="4" t="n"/>
      <c r="D192" s="4" t="n"/>
      <c r="E192" s="4" t="n"/>
      <c r="F192" s="4" t="n"/>
      <c r="G192" s="6" t="n"/>
      <c r="H192" s="11">
        <f>IF($C192="","",IF($C192="Equipment",IFERROR(VLOOKUP($E192,EquipRates,IF(AND($F192&lt;&gt;"",$F192&lt;1),3,2),FALSE),0),IFERROR(VLOOKUP($C192,Trucks,2,FALSE),"")))</f>
        <v/>
      </c>
      <c r="I192" s="11">
        <f>IF($C192="","",CEILING(IF($H192&lt;&gt;"",$H192,IF($G192="",0,$G192))*IF($F192="",1,$F192),RoundInc))</f>
        <v/>
      </c>
      <c r="J192" s="4" t="n"/>
      <c r="K192" s="9">
        <f>IF($C192="","",IF(OR($C192="Truck stock",$C192="Purchase",$C192="Tech expense",$C192="Other"),"Yes","No"))</f>
        <v/>
      </c>
      <c r="L192" s="4" t="n"/>
      <c r="M192" s="9">
        <f>IF($A192="","",COUNTIF($A$2:$A192,$A192))</f>
        <v/>
      </c>
      <c r="N192" s="9">
        <f>IF($A192="","",TEXT($A192,"yyyy-mm-dd")&amp;"#"&amp;$M192)</f>
        <v/>
      </c>
    </row>
    <row r="193">
      <c r="A193" s="8" t="n"/>
      <c r="B193" s="9">
        <f>IF($A193="","",TEXT($A193,"ddd"))</f>
        <v/>
      </c>
      <c r="C193" s="4" t="n"/>
      <c r="D193" s="4" t="n"/>
      <c r="E193" s="4" t="n"/>
      <c r="F193" s="4" t="n"/>
      <c r="G193" s="6" t="n"/>
      <c r="H193" s="11">
        <f>IF($C193="","",IF($C193="Equipment",IFERROR(VLOOKUP($E193,EquipRates,IF(AND($F193&lt;&gt;"",$F193&lt;1),3,2),FALSE),0),IFERROR(VLOOKUP($C193,Trucks,2,FALSE),"")))</f>
        <v/>
      </c>
      <c r="I193" s="11">
        <f>IF($C193="","",CEILING(IF($H193&lt;&gt;"",$H193,IF($G193="",0,$G193))*IF($F193="",1,$F193),RoundInc))</f>
        <v/>
      </c>
      <c r="J193" s="4" t="n"/>
      <c r="K193" s="9">
        <f>IF($C193="","",IF(OR($C193="Truck stock",$C193="Purchase",$C193="Tech expense",$C193="Other"),"Yes","No"))</f>
        <v/>
      </c>
      <c r="L193" s="4" t="n"/>
      <c r="M193" s="9">
        <f>IF($A193="","",COUNTIF($A$2:$A193,$A193))</f>
        <v/>
      </c>
      <c r="N193" s="9">
        <f>IF($A193="","",TEXT($A193,"yyyy-mm-dd")&amp;"#"&amp;$M193)</f>
        <v/>
      </c>
    </row>
    <row r="194">
      <c r="A194" s="8" t="n"/>
      <c r="B194" s="9">
        <f>IF($A194="","",TEXT($A194,"ddd"))</f>
        <v/>
      </c>
      <c r="C194" s="4" t="n"/>
      <c r="D194" s="4" t="n"/>
      <c r="E194" s="4" t="n"/>
      <c r="F194" s="4" t="n"/>
      <c r="G194" s="6" t="n"/>
      <c r="H194" s="11">
        <f>IF($C194="","",IF($C194="Equipment",IFERROR(VLOOKUP($E194,EquipRates,IF(AND($F194&lt;&gt;"",$F194&lt;1),3,2),FALSE),0),IFERROR(VLOOKUP($C194,Trucks,2,FALSE),"")))</f>
        <v/>
      </c>
      <c r="I194" s="11">
        <f>IF($C194="","",CEILING(IF($H194&lt;&gt;"",$H194,IF($G194="",0,$G194))*IF($F194="",1,$F194),RoundInc))</f>
        <v/>
      </c>
      <c r="J194" s="4" t="n"/>
      <c r="K194" s="9">
        <f>IF($C194="","",IF(OR($C194="Truck stock",$C194="Purchase",$C194="Tech expense",$C194="Other"),"Yes","No"))</f>
        <v/>
      </c>
      <c r="L194" s="4" t="n"/>
      <c r="M194" s="9">
        <f>IF($A194="","",COUNTIF($A$2:$A194,$A194))</f>
        <v/>
      </c>
      <c r="N194" s="9">
        <f>IF($A194="","",TEXT($A194,"yyyy-mm-dd")&amp;"#"&amp;$M194)</f>
        <v/>
      </c>
    </row>
    <row r="195">
      <c r="A195" s="8" t="n"/>
      <c r="B195" s="9">
        <f>IF($A195="","",TEXT($A195,"ddd"))</f>
        <v/>
      </c>
      <c r="C195" s="4" t="n"/>
      <c r="D195" s="4" t="n"/>
      <c r="E195" s="4" t="n"/>
      <c r="F195" s="4" t="n"/>
      <c r="G195" s="6" t="n"/>
      <c r="H195" s="11">
        <f>IF($C195="","",IF($C195="Equipment",IFERROR(VLOOKUP($E195,EquipRates,IF(AND($F195&lt;&gt;"",$F195&lt;1),3,2),FALSE),0),IFERROR(VLOOKUP($C195,Trucks,2,FALSE),"")))</f>
        <v/>
      </c>
      <c r="I195" s="11">
        <f>IF($C195="","",CEILING(IF($H195&lt;&gt;"",$H195,IF($G195="",0,$G195))*IF($F195="",1,$F195),RoundInc))</f>
        <v/>
      </c>
      <c r="J195" s="4" t="n"/>
      <c r="K195" s="9">
        <f>IF($C195="","",IF(OR($C195="Truck stock",$C195="Purchase",$C195="Tech expense",$C195="Other"),"Yes","No"))</f>
        <v/>
      </c>
      <c r="L195" s="4" t="n"/>
      <c r="M195" s="9">
        <f>IF($A195="","",COUNTIF($A$2:$A195,$A195))</f>
        <v/>
      </c>
      <c r="N195" s="9">
        <f>IF($A195="","",TEXT($A195,"yyyy-mm-dd")&amp;"#"&amp;$M195)</f>
        <v/>
      </c>
    </row>
    <row r="196">
      <c r="A196" s="8" t="n"/>
      <c r="B196" s="9">
        <f>IF($A196="","",TEXT($A196,"ddd"))</f>
        <v/>
      </c>
      <c r="C196" s="4" t="n"/>
      <c r="D196" s="4" t="n"/>
      <c r="E196" s="4" t="n"/>
      <c r="F196" s="4" t="n"/>
      <c r="G196" s="6" t="n"/>
      <c r="H196" s="11">
        <f>IF($C196="","",IF($C196="Equipment",IFERROR(VLOOKUP($E196,EquipRates,IF(AND($F196&lt;&gt;"",$F196&lt;1),3,2),FALSE),0),IFERROR(VLOOKUP($C196,Trucks,2,FALSE),"")))</f>
        <v/>
      </c>
      <c r="I196" s="11">
        <f>IF($C196="","",CEILING(IF($H196&lt;&gt;"",$H196,IF($G196="",0,$G196))*IF($F196="",1,$F196),RoundInc))</f>
        <v/>
      </c>
      <c r="J196" s="4" t="n"/>
      <c r="K196" s="9">
        <f>IF($C196="","",IF(OR($C196="Truck stock",$C196="Purchase",$C196="Tech expense",$C196="Other"),"Yes","No"))</f>
        <v/>
      </c>
      <c r="L196" s="4" t="n"/>
      <c r="M196" s="9">
        <f>IF($A196="","",COUNTIF($A$2:$A196,$A196))</f>
        <v/>
      </c>
      <c r="N196" s="9">
        <f>IF($A196="","",TEXT($A196,"yyyy-mm-dd")&amp;"#"&amp;$M196)</f>
        <v/>
      </c>
    </row>
    <row r="197">
      <c r="A197" s="8" t="n"/>
      <c r="B197" s="9">
        <f>IF($A197="","",TEXT($A197,"ddd"))</f>
        <v/>
      </c>
      <c r="C197" s="4" t="n"/>
      <c r="D197" s="4" t="n"/>
      <c r="E197" s="4" t="n"/>
      <c r="F197" s="4" t="n"/>
      <c r="G197" s="6" t="n"/>
      <c r="H197" s="11">
        <f>IF($C197="","",IF($C197="Equipment",IFERROR(VLOOKUP($E197,EquipRates,IF(AND($F197&lt;&gt;"",$F197&lt;1),3,2),FALSE),0),IFERROR(VLOOKUP($C197,Trucks,2,FALSE),"")))</f>
        <v/>
      </c>
      <c r="I197" s="11">
        <f>IF($C197="","",CEILING(IF($H197&lt;&gt;"",$H197,IF($G197="",0,$G197))*IF($F197="",1,$F197),RoundInc))</f>
        <v/>
      </c>
      <c r="J197" s="4" t="n"/>
      <c r="K197" s="9">
        <f>IF($C197="","",IF(OR($C197="Truck stock",$C197="Purchase",$C197="Tech expense",$C197="Other"),"Yes","No"))</f>
        <v/>
      </c>
      <c r="L197" s="4" t="n"/>
      <c r="M197" s="9">
        <f>IF($A197="","",COUNTIF($A$2:$A197,$A197))</f>
        <v/>
      </c>
      <c r="N197" s="9">
        <f>IF($A197="","",TEXT($A197,"yyyy-mm-dd")&amp;"#"&amp;$M197)</f>
        <v/>
      </c>
    </row>
    <row r="198">
      <c r="A198" s="8" t="n"/>
      <c r="B198" s="9">
        <f>IF($A198="","",TEXT($A198,"ddd"))</f>
        <v/>
      </c>
      <c r="C198" s="4" t="n"/>
      <c r="D198" s="4" t="n"/>
      <c r="E198" s="4" t="n"/>
      <c r="F198" s="4" t="n"/>
      <c r="G198" s="6" t="n"/>
      <c r="H198" s="11">
        <f>IF($C198="","",IF($C198="Equipment",IFERROR(VLOOKUP($E198,EquipRates,IF(AND($F198&lt;&gt;"",$F198&lt;1),3,2),FALSE),0),IFERROR(VLOOKUP($C198,Trucks,2,FALSE),"")))</f>
        <v/>
      </c>
      <c r="I198" s="11">
        <f>IF($C198="","",CEILING(IF($H198&lt;&gt;"",$H198,IF($G198="",0,$G198))*IF($F198="",1,$F198),RoundInc))</f>
        <v/>
      </c>
      <c r="J198" s="4" t="n"/>
      <c r="K198" s="9">
        <f>IF($C198="","",IF(OR($C198="Truck stock",$C198="Purchase",$C198="Tech expense",$C198="Other"),"Yes","No"))</f>
        <v/>
      </c>
      <c r="L198" s="4" t="n"/>
      <c r="M198" s="9">
        <f>IF($A198="","",COUNTIF($A$2:$A198,$A198))</f>
        <v/>
      </c>
      <c r="N198" s="9">
        <f>IF($A198="","",TEXT($A198,"yyyy-mm-dd")&amp;"#"&amp;$M198)</f>
        <v/>
      </c>
    </row>
    <row r="199">
      <c r="A199" s="8" t="n"/>
      <c r="B199" s="9">
        <f>IF($A199="","",TEXT($A199,"ddd"))</f>
        <v/>
      </c>
      <c r="C199" s="4" t="n"/>
      <c r="D199" s="4" t="n"/>
      <c r="E199" s="4" t="n"/>
      <c r="F199" s="4" t="n"/>
      <c r="G199" s="6" t="n"/>
      <c r="H199" s="11">
        <f>IF($C199="","",IF($C199="Equipment",IFERROR(VLOOKUP($E199,EquipRates,IF(AND($F199&lt;&gt;"",$F199&lt;1),3,2),FALSE),0),IFERROR(VLOOKUP($C199,Trucks,2,FALSE),"")))</f>
        <v/>
      </c>
      <c r="I199" s="11">
        <f>IF($C199="","",CEILING(IF($H199&lt;&gt;"",$H199,IF($G199="",0,$G199))*IF($F199="",1,$F199),RoundInc))</f>
        <v/>
      </c>
      <c r="J199" s="4" t="n"/>
      <c r="K199" s="9">
        <f>IF($C199="","",IF(OR($C199="Truck stock",$C199="Purchase",$C199="Tech expense",$C199="Other"),"Yes","No"))</f>
        <v/>
      </c>
      <c r="L199" s="4" t="n"/>
      <c r="M199" s="9">
        <f>IF($A199="","",COUNTIF($A$2:$A199,$A199))</f>
        <v/>
      </c>
      <c r="N199" s="9">
        <f>IF($A199="","",TEXT($A199,"yyyy-mm-dd")&amp;"#"&amp;$M199)</f>
        <v/>
      </c>
    </row>
    <row r="200">
      <c r="A200" s="8" t="n"/>
      <c r="B200" s="9">
        <f>IF($A200="","",TEXT($A200,"ddd"))</f>
        <v/>
      </c>
      <c r="C200" s="4" t="n"/>
      <c r="D200" s="4" t="n"/>
      <c r="E200" s="4" t="n"/>
      <c r="F200" s="4" t="n"/>
      <c r="G200" s="6" t="n"/>
      <c r="H200" s="11">
        <f>IF($C200="","",IF($C200="Equipment",IFERROR(VLOOKUP($E200,EquipRates,IF(AND($F200&lt;&gt;"",$F200&lt;1),3,2),FALSE),0),IFERROR(VLOOKUP($C200,Trucks,2,FALSE),"")))</f>
        <v/>
      </c>
      <c r="I200" s="11">
        <f>IF($C200="","",CEILING(IF($H200&lt;&gt;"",$H200,IF($G200="",0,$G200))*IF($F200="",1,$F200),RoundInc))</f>
        <v/>
      </c>
      <c r="J200" s="4" t="n"/>
      <c r="K200" s="9">
        <f>IF($C200="","",IF(OR($C200="Truck stock",$C200="Purchase",$C200="Tech expense",$C200="Other"),"Yes","No"))</f>
        <v/>
      </c>
      <c r="L200" s="4" t="n"/>
      <c r="M200" s="9">
        <f>IF($A200="","",COUNTIF($A$2:$A200,$A200))</f>
        <v/>
      </c>
      <c r="N200" s="9">
        <f>IF($A200="","",TEXT($A200,"yyyy-mm-dd")&amp;"#"&amp;$M200)</f>
        <v/>
      </c>
    </row>
    <row r="201">
      <c r="A201" s="8" t="n"/>
      <c r="B201" s="9">
        <f>IF($A201="","",TEXT($A201,"ddd"))</f>
        <v/>
      </c>
      <c r="C201" s="4" t="n"/>
      <c r="D201" s="4" t="n"/>
      <c r="E201" s="4" t="n"/>
      <c r="F201" s="4" t="n"/>
      <c r="G201" s="6" t="n"/>
      <c r="H201" s="11">
        <f>IF($C201="","",IF($C201="Equipment",IFERROR(VLOOKUP($E201,EquipRates,IF(AND($F201&lt;&gt;"",$F201&lt;1),3,2),FALSE),0),IFERROR(VLOOKUP($C201,Trucks,2,FALSE),"")))</f>
        <v/>
      </c>
      <c r="I201" s="11">
        <f>IF($C201="","",CEILING(IF($H201&lt;&gt;"",$H201,IF($G201="",0,$G201))*IF($F201="",1,$F201),RoundInc))</f>
        <v/>
      </c>
      <c r="J201" s="4" t="n"/>
      <c r="K201" s="9">
        <f>IF($C201="","",IF(OR($C201="Truck stock",$C201="Purchase",$C201="Tech expense",$C201="Other"),"Yes","No"))</f>
        <v/>
      </c>
      <c r="L201" s="4" t="n"/>
      <c r="M201" s="9">
        <f>IF($A201="","",COUNTIF($A$2:$A201,$A201))</f>
        <v/>
      </c>
      <c r="N201" s="9">
        <f>IF($A201="","",TEXT($A201,"yyyy-mm-dd")&amp;"#"&amp;$M201)</f>
        <v/>
      </c>
    </row>
    <row r="202">
      <c r="A202" s="8" t="n"/>
      <c r="B202" s="9">
        <f>IF($A202="","",TEXT($A202,"ddd"))</f>
        <v/>
      </c>
      <c r="C202" s="4" t="n"/>
      <c r="D202" s="4" t="n"/>
      <c r="E202" s="4" t="n"/>
      <c r="F202" s="4" t="n"/>
      <c r="G202" s="6" t="n"/>
      <c r="H202" s="11">
        <f>IF($C202="","",IF($C202="Equipment",IFERROR(VLOOKUP($E202,EquipRates,IF(AND($F202&lt;&gt;"",$F202&lt;1),3,2),FALSE),0),IFERROR(VLOOKUP($C202,Trucks,2,FALSE),"")))</f>
        <v/>
      </c>
      <c r="I202" s="11">
        <f>IF($C202="","",CEILING(IF($H202&lt;&gt;"",$H202,IF($G202="",0,$G202))*IF($F202="",1,$F202),RoundInc))</f>
        <v/>
      </c>
      <c r="J202" s="4" t="n"/>
      <c r="K202" s="9">
        <f>IF($C202="","",IF(OR($C202="Truck stock",$C202="Purchase",$C202="Tech expense",$C202="Other"),"Yes","No"))</f>
        <v/>
      </c>
      <c r="L202" s="4" t="n"/>
      <c r="M202" s="9">
        <f>IF($A202="","",COUNTIF($A$2:$A202,$A202))</f>
        <v/>
      </c>
      <c r="N202" s="9">
        <f>IF($A202="","",TEXT($A202,"yyyy-mm-dd")&amp;"#"&amp;$M202)</f>
        <v/>
      </c>
    </row>
    <row r="203">
      <c r="A203" s="8" t="n"/>
      <c r="B203" s="9">
        <f>IF($A203="","",TEXT($A203,"ddd"))</f>
        <v/>
      </c>
      <c r="C203" s="4" t="n"/>
      <c r="D203" s="4" t="n"/>
      <c r="E203" s="4" t="n"/>
      <c r="F203" s="4" t="n"/>
      <c r="G203" s="6" t="n"/>
      <c r="H203" s="11">
        <f>IF($C203="","",IF($C203="Equipment",IFERROR(VLOOKUP($E203,EquipRates,IF(AND($F203&lt;&gt;"",$F203&lt;1),3,2),FALSE),0),IFERROR(VLOOKUP($C203,Trucks,2,FALSE),"")))</f>
        <v/>
      </c>
      <c r="I203" s="11">
        <f>IF($C203="","",CEILING(IF($H203&lt;&gt;"",$H203,IF($G203="",0,$G203))*IF($F203="",1,$F203),RoundInc))</f>
        <v/>
      </c>
      <c r="J203" s="4" t="n"/>
      <c r="K203" s="9">
        <f>IF($C203="","",IF(OR($C203="Truck stock",$C203="Purchase",$C203="Tech expense",$C203="Other"),"Yes","No"))</f>
        <v/>
      </c>
      <c r="L203" s="4" t="n"/>
      <c r="M203" s="9">
        <f>IF($A203="","",COUNTIF($A$2:$A203,$A203))</f>
        <v/>
      </c>
      <c r="N203" s="9">
        <f>IF($A203="","",TEXT($A203,"yyyy-mm-dd")&amp;"#"&amp;$M203)</f>
        <v/>
      </c>
    </row>
    <row r="204">
      <c r="A204" s="8" t="n"/>
      <c r="B204" s="9">
        <f>IF($A204="","",TEXT($A204,"ddd"))</f>
        <v/>
      </c>
      <c r="C204" s="4" t="n"/>
      <c r="D204" s="4" t="n"/>
      <c r="E204" s="4" t="n"/>
      <c r="F204" s="4" t="n"/>
      <c r="G204" s="6" t="n"/>
      <c r="H204" s="11">
        <f>IF($C204="","",IF($C204="Equipment",IFERROR(VLOOKUP($E204,EquipRates,IF(AND($F204&lt;&gt;"",$F204&lt;1),3,2),FALSE),0),IFERROR(VLOOKUP($C204,Trucks,2,FALSE),"")))</f>
        <v/>
      </c>
      <c r="I204" s="11">
        <f>IF($C204="","",CEILING(IF($H204&lt;&gt;"",$H204,IF($G204="",0,$G204))*IF($F204="",1,$F204),RoundInc))</f>
        <v/>
      </c>
      <c r="J204" s="4" t="n"/>
      <c r="K204" s="9">
        <f>IF($C204="","",IF(OR($C204="Truck stock",$C204="Purchase",$C204="Tech expense",$C204="Other"),"Yes","No"))</f>
        <v/>
      </c>
      <c r="L204" s="4" t="n"/>
      <c r="M204" s="9">
        <f>IF($A204="","",COUNTIF($A$2:$A204,$A204))</f>
        <v/>
      </c>
      <c r="N204" s="9">
        <f>IF($A204="","",TEXT($A204,"yyyy-mm-dd")&amp;"#"&amp;$M204)</f>
        <v/>
      </c>
    </row>
    <row r="205">
      <c r="A205" s="8" t="n"/>
      <c r="B205" s="9">
        <f>IF($A205="","",TEXT($A205,"ddd"))</f>
        <v/>
      </c>
      <c r="C205" s="4" t="n"/>
      <c r="D205" s="4" t="n"/>
      <c r="E205" s="4" t="n"/>
      <c r="F205" s="4" t="n"/>
      <c r="G205" s="6" t="n"/>
      <c r="H205" s="11">
        <f>IF($C205="","",IF($C205="Equipment",IFERROR(VLOOKUP($E205,EquipRates,IF(AND($F205&lt;&gt;"",$F205&lt;1),3,2),FALSE),0),IFERROR(VLOOKUP($C205,Trucks,2,FALSE),"")))</f>
        <v/>
      </c>
      <c r="I205" s="11">
        <f>IF($C205="","",CEILING(IF($H205&lt;&gt;"",$H205,IF($G205="",0,$G205))*IF($F205="",1,$F205),RoundInc))</f>
        <v/>
      </c>
      <c r="J205" s="4" t="n"/>
      <c r="K205" s="9">
        <f>IF($C205="","",IF(OR($C205="Truck stock",$C205="Purchase",$C205="Tech expense",$C205="Other"),"Yes","No"))</f>
        <v/>
      </c>
      <c r="L205" s="4" t="n"/>
      <c r="M205" s="9">
        <f>IF($A205="","",COUNTIF($A$2:$A205,$A205))</f>
        <v/>
      </c>
      <c r="N205" s="9">
        <f>IF($A205="","",TEXT($A205,"yyyy-mm-dd")&amp;"#"&amp;$M205)</f>
        <v/>
      </c>
    </row>
    <row r="206">
      <c r="A206" s="8" t="n"/>
      <c r="B206" s="9">
        <f>IF($A206="","",TEXT($A206,"ddd"))</f>
        <v/>
      </c>
      <c r="C206" s="4" t="n"/>
      <c r="D206" s="4" t="n"/>
      <c r="E206" s="4" t="n"/>
      <c r="F206" s="4" t="n"/>
      <c r="G206" s="6" t="n"/>
      <c r="H206" s="11">
        <f>IF($C206="","",IF($C206="Equipment",IFERROR(VLOOKUP($E206,EquipRates,IF(AND($F206&lt;&gt;"",$F206&lt;1),3,2),FALSE),0),IFERROR(VLOOKUP($C206,Trucks,2,FALSE),"")))</f>
        <v/>
      </c>
      <c r="I206" s="11">
        <f>IF($C206="","",CEILING(IF($H206&lt;&gt;"",$H206,IF($G206="",0,$G206))*IF($F206="",1,$F206),RoundInc))</f>
        <v/>
      </c>
      <c r="J206" s="4" t="n"/>
      <c r="K206" s="9">
        <f>IF($C206="","",IF(OR($C206="Truck stock",$C206="Purchase",$C206="Tech expense",$C206="Other"),"Yes","No"))</f>
        <v/>
      </c>
      <c r="L206" s="4" t="n"/>
      <c r="M206" s="9">
        <f>IF($A206="","",COUNTIF($A$2:$A206,$A206))</f>
        <v/>
      </c>
      <c r="N206" s="9">
        <f>IF($A206="","",TEXT($A206,"yyyy-mm-dd")&amp;"#"&amp;$M206)</f>
        <v/>
      </c>
    </row>
    <row r="207">
      <c r="A207" s="8" t="n"/>
      <c r="B207" s="9">
        <f>IF($A207="","",TEXT($A207,"ddd"))</f>
        <v/>
      </c>
      <c r="C207" s="4" t="n"/>
      <c r="D207" s="4" t="n"/>
      <c r="E207" s="4" t="n"/>
      <c r="F207" s="4" t="n"/>
      <c r="G207" s="6" t="n"/>
      <c r="H207" s="11">
        <f>IF($C207="","",IF($C207="Equipment",IFERROR(VLOOKUP($E207,EquipRates,IF(AND($F207&lt;&gt;"",$F207&lt;1),3,2),FALSE),0),IFERROR(VLOOKUP($C207,Trucks,2,FALSE),"")))</f>
        <v/>
      </c>
      <c r="I207" s="11">
        <f>IF($C207="","",CEILING(IF($H207&lt;&gt;"",$H207,IF($G207="",0,$G207))*IF($F207="",1,$F207),RoundInc))</f>
        <v/>
      </c>
      <c r="J207" s="4" t="n"/>
      <c r="K207" s="9">
        <f>IF($C207="","",IF(OR($C207="Truck stock",$C207="Purchase",$C207="Tech expense",$C207="Other"),"Yes","No"))</f>
        <v/>
      </c>
      <c r="L207" s="4" t="n"/>
      <c r="M207" s="9">
        <f>IF($A207="","",COUNTIF($A$2:$A207,$A207))</f>
        <v/>
      </c>
      <c r="N207" s="9">
        <f>IF($A207="","",TEXT($A207,"yyyy-mm-dd")&amp;"#"&amp;$M207)</f>
        <v/>
      </c>
    </row>
    <row r="208">
      <c r="A208" s="8" t="n"/>
      <c r="B208" s="9">
        <f>IF($A208="","",TEXT($A208,"ddd"))</f>
        <v/>
      </c>
      <c r="C208" s="4" t="n"/>
      <c r="D208" s="4" t="n"/>
      <c r="E208" s="4" t="n"/>
      <c r="F208" s="4" t="n"/>
      <c r="G208" s="6" t="n"/>
      <c r="H208" s="11">
        <f>IF($C208="","",IF($C208="Equipment",IFERROR(VLOOKUP($E208,EquipRates,IF(AND($F208&lt;&gt;"",$F208&lt;1),3,2),FALSE),0),IFERROR(VLOOKUP($C208,Trucks,2,FALSE),"")))</f>
        <v/>
      </c>
      <c r="I208" s="11">
        <f>IF($C208="","",CEILING(IF($H208&lt;&gt;"",$H208,IF($G208="",0,$G208))*IF($F208="",1,$F208),RoundInc))</f>
        <v/>
      </c>
      <c r="J208" s="4" t="n"/>
      <c r="K208" s="9">
        <f>IF($C208="","",IF(OR($C208="Truck stock",$C208="Purchase",$C208="Tech expense",$C208="Other"),"Yes","No"))</f>
        <v/>
      </c>
      <c r="L208" s="4" t="n"/>
      <c r="M208" s="9">
        <f>IF($A208="","",COUNTIF($A$2:$A208,$A208))</f>
        <v/>
      </c>
      <c r="N208" s="9">
        <f>IF($A208="","",TEXT($A208,"yyyy-mm-dd")&amp;"#"&amp;$M208)</f>
        <v/>
      </c>
    </row>
    <row r="209">
      <c r="A209" s="8" t="n"/>
      <c r="B209" s="9">
        <f>IF($A209="","",TEXT($A209,"ddd"))</f>
        <v/>
      </c>
      <c r="C209" s="4" t="n"/>
      <c r="D209" s="4" t="n"/>
      <c r="E209" s="4" t="n"/>
      <c r="F209" s="4" t="n"/>
      <c r="G209" s="6" t="n"/>
      <c r="H209" s="11">
        <f>IF($C209="","",IF($C209="Equipment",IFERROR(VLOOKUP($E209,EquipRates,IF(AND($F209&lt;&gt;"",$F209&lt;1),3,2),FALSE),0),IFERROR(VLOOKUP($C209,Trucks,2,FALSE),"")))</f>
        <v/>
      </c>
      <c r="I209" s="11">
        <f>IF($C209="","",CEILING(IF($H209&lt;&gt;"",$H209,IF($G209="",0,$G209))*IF($F209="",1,$F209),RoundInc))</f>
        <v/>
      </c>
      <c r="J209" s="4" t="n"/>
      <c r="K209" s="9">
        <f>IF($C209="","",IF(OR($C209="Truck stock",$C209="Purchase",$C209="Tech expense",$C209="Other"),"Yes","No"))</f>
        <v/>
      </c>
      <c r="L209" s="4" t="n"/>
      <c r="M209" s="9">
        <f>IF($A209="","",COUNTIF($A$2:$A209,$A209))</f>
        <v/>
      </c>
      <c r="N209" s="9">
        <f>IF($A209="","",TEXT($A209,"yyyy-mm-dd")&amp;"#"&amp;$M209)</f>
        <v/>
      </c>
    </row>
    <row r="210">
      <c r="A210" s="8" t="n"/>
      <c r="B210" s="9">
        <f>IF($A210="","",TEXT($A210,"ddd"))</f>
        <v/>
      </c>
      <c r="C210" s="4" t="n"/>
      <c r="D210" s="4" t="n"/>
      <c r="E210" s="4" t="n"/>
      <c r="F210" s="4" t="n"/>
      <c r="G210" s="6" t="n"/>
      <c r="H210" s="11">
        <f>IF($C210="","",IF($C210="Equipment",IFERROR(VLOOKUP($E210,EquipRates,IF(AND($F210&lt;&gt;"",$F210&lt;1),3,2),FALSE),0),IFERROR(VLOOKUP($C210,Trucks,2,FALSE),"")))</f>
        <v/>
      </c>
      <c r="I210" s="11">
        <f>IF($C210="","",CEILING(IF($H210&lt;&gt;"",$H210,IF($G210="",0,$G210))*IF($F210="",1,$F210),RoundInc))</f>
        <v/>
      </c>
      <c r="J210" s="4" t="n"/>
      <c r="K210" s="9">
        <f>IF($C210="","",IF(OR($C210="Truck stock",$C210="Purchase",$C210="Tech expense",$C210="Other"),"Yes","No"))</f>
        <v/>
      </c>
      <c r="L210" s="4" t="n"/>
      <c r="M210" s="9">
        <f>IF($A210="","",COUNTIF($A$2:$A210,$A210))</f>
        <v/>
      </c>
      <c r="N210" s="9">
        <f>IF($A210="","",TEXT($A210,"yyyy-mm-dd")&amp;"#"&amp;$M210)</f>
        <v/>
      </c>
    </row>
    <row r="211">
      <c r="A211" s="8" t="n"/>
      <c r="B211" s="9">
        <f>IF($A211="","",TEXT($A211,"ddd"))</f>
        <v/>
      </c>
      <c r="C211" s="4" t="n"/>
      <c r="D211" s="4" t="n"/>
      <c r="E211" s="4" t="n"/>
      <c r="F211" s="4" t="n"/>
      <c r="G211" s="6" t="n"/>
      <c r="H211" s="11">
        <f>IF($C211="","",IF($C211="Equipment",IFERROR(VLOOKUP($E211,EquipRates,IF(AND($F211&lt;&gt;"",$F211&lt;1),3,2),FALSE),0),IFERROR(VLOOKUP($C211,Trucks,2,FALSE),"")))</f>
        <v/>
      </c>
      <c r="I211" s="11">
        <f>IF($C211="","",CEILING(IF($H211&lt;&gt;"",$H211,IF($G211="",0,$G211))*IF($F211="",1,$F211),RoundInc))</f>
        <v/>
      </c>
      <c r="J211" s="4" t="n"/>
      <c r="K211" s="9">
        <f>IF($C211="","",IF(OR($C211="Truck stock",$C211="Purchase",$C211="Tech expense",$C211="Other"),"Yes","No"))</f>
        <v/>
      </c>
      <c r="L211" s="4" t="n"/>
      <c r="M211" s="9">
        <f>IF($A211="","",COUNTIF($A$2:$A211,$A211))</f>
        <v/>
      </c>
      <c r="N211" s="9">
        <f>IF($A211="","",TEXT($A211,"yyyy-mm-dd")&amp;"#"&amp;$M211)</f>
        <v/>
      </c>
    </row>
    <row r="212">
      <c r="A212" s="8" t="n"/>
      <c r="B212" s="9">
        <f>IF($A212="","",TEXT($A212,"ddd"))</f>
        <v/>
      </c>
      <c r="C212" s="4" t="n"/>
      <c r="D212" s="4" t="n"/>
      <c r="E212" s="4" t="n"/>
      <c r="F212" s="4" t="n"/>
      <c r="G212" s="6" t="n"/>
      <c r="H212" s="11">
        <f>IF($C212="","",IF($C212="Equipment",IFERROR(VLOOKUP($E212,EquipRates,IF(AND($F212&lt;&gt;"",$F212&lt;1),3,2),FALSE),0),IFERROR(VLOOKUP($C212,Trucks,2,FALSE),"")))</f>
        <v/>
      </c>
      <c r="I212" s="11">
        <f>IF($C212="","",CEILING(IF($H212&lt;&gt;"",$H212,IF($G212="",0,$G212))*IF($F212="",1,$F212),RoundInc))</f>
        <v/>
      </c>
      <c r="J212" s="4" t="n"/>
      <c r="K212" s="9">
        <f>IF($C212="","",IF(OR($C212="Truck stock",$C212="Purchase",$C212="Tech expense",$C212="Other"),"Yes","No"))</f>
        <v/>
      </c>
      <c r="L212" s="4" t="n"/>
      <c r="M212" s="9">
        <f>IF($A212="","",COUNTIF($A$2:$A212,$A212))</f>
        <v/>
      </c>
      <c r="N212" s="9">
        <f>IF($A212="","",TEXT($A212,"yyyy-mm-dd")&amp;"#"&amp;$M212)</f>
        <v/>
      </c>
    </row>
    <row r="213">
      <c r="A213" s="8" t="n"/>
      <c r="B213" s="9">
        <f>IF($A213="","",TEXT($A213,"ddd"))</f>
        <v/>
      </c>
      <c r="C213" s="4" t="n"/>
      <c r="D213" s="4" t="n"/>
      <c r="E213" s="4" t="n"/>
      <c r="F213" s="4" t="n"/>
      <c r="G213" s="6" t="n"/>
      <c r="H213" s="11">
        <f>IF($C213="","",IF($C213="Equipment",IFERROR(VLOOKUP($E213,EquipRates,IF(AND($F213&lt;&gt;"",$F213&lt;1),3,2),FALSE),0),IFERROR(VLOOKUP($C213,Trucks,2,FALSE),"")))</f>
        <v/>
      </c>
      <c r="I213" s="11">
        <f>IF($C213="","",CEILING(IF($H213&lt;&gt;"",$H213,IF($G213="",0,$G213))*IF($F213="",1,$F213),RoundInc))</f>
        <v/>
      </c>
      <c r="J213" s="4" t="n"/>
      <c r="K213" s="9">
        <f>IF($C213="","",IF(OR($C213="Truck stock",$C213="Purchase",$C213="Tech expense",$C213="Other"),"Yes","No"))</f>
        <v/>
      </c>
      <c r="L213" s="4" t="n"/>
      <c r="M213" s="9">
        <f>IF($A213="","",COUNTIF($A$2:$A213,$A213))</f>
        <v/>
      </c>
      <c r="N213" s="9">
        <f>IF($A213="","",TEXT($A213,"yyyy-mm-dd")&amp;"#"&amp;$M213)</f>
        <v/>
      </c>
    </row>
    <row r="214">
      <c r="A214" s="8" t="n"/>
      <c r="B214" s="9">
        <f>IF($A214="","",TEXT($A214,"ddd"))</f>
        <v/>
      </c>
      <c r="C214" s="4" t="n"/>
      <c r="D214" s="4" t="n"/>
      <c r="E214" s="4" t="n"/>
      <c r="F214" s="4" t="n"/>
      <c r="G214" s="6" t="n"/>
      <c r="H214" s="11">
        <f>IF($C214="","",IF($C214="Equipment",IFERROR(VLOOKUP($E214,EquipRates,IF(AND($F214&lt;&gt;"",$F214&lt;1),3,2),FALSE),0),IFERROR(VLOOKUP($C214,Trucks,2,FALSE),"")))</f>
        <v/>
      </c>
      <c r="I214" s="11">
        <f>IF($C214="","",CEILING(IF($H214&lt;&gt;"",$H214,IF($G214="",0,$G214))*IF($F214="",1,$F214),RoundInc))</f>
        <v/>
      </c>
      <c r="J214" s="4" t="n"/>
      <c r="K214" s="9">
        <f>IF($C214="","",IF(OR($C214="Truck stock",$C214="Purchase",$C214="Tech expense",$C214="Other"),"Yes","No"))</f>
        <v/>
      </c>
      <c r="L214" s="4" t="n"/>
      <c r="M214" s="9">
        <f>IF($A214="","",COUNTIF($A$2:$A214,$A214))</f>
        <v/>
      </c>
      <c r="N214" s="9">
        <f>IF($A214="","",TEXT($A214,"yyyy-mm-dd")&amp;"#"&amp;$M214)</f>
        <v/>
      </c>
    </row>
    <row r="215">
      <c r="A215" s="8" t="n"/>
      <c r="B215" s="9">
        <f>IF($A215="","",TEXT($A215,"ddd"))</f>
        <v/>
      </c>
      <c r="C215" s="4" t="n"/>
      <c r="D215" s="4" t="n"/>
      <c r="E215" s="4" t="n"/>
      <c r="F215" s="4" t="n"/>
      <c r="G215" s="6" t="n"/>
      <c r="H215" s="11">
        <f>IF($C215="","",IF($C215="Equipment",IFERROR(VLOOKUP($E215,EquipRates,IF(AND($F215&lt;&gt;"",$F215&lt;1),3,2),FALSE),0),IFERROR(VLOOKUP($C215,Trucks,2,FALSE),"")))</f>
        <v/>
      </c>
      <c r="I215" s="11">
        <f>IF($C215="","",CEILING(IF($H215&lt;&gt;"",$H215,IF($G215="",0,$G215))*IF($F215="",1,$F215),RoundInc))</f>
        <v/>
      </c>
      <c r="J215" s="4" t="n"/>
      <c r="K215" s="9">
        <f>IF($C215="","",IF(OR($C215="Truck stock",$C215="Purchase",$C215="Tech expense",$C215="Other"),"Yes","No"))</f>
        <v/>
      </c>
      <c r="L215" s="4" t="n"/>
      <c r="M215" s="9">
        <f>IF($A215="","",COUNTIF($A$2:$A215,$A215))</f>
        <v/>
      </c>
      <c r="N215" s="9">
        <f>IF($A215="","",TEXT($A215,"yyyy-mm-dd")&amp;"#"&amp;$M215)</f>
        <v/>
      </c>
    </row>
    <row r="216">
      <c r="A216" s="8" t="n"/>
      <c r="B216" s="9">
        <f>IF($A216="","",TEXT($A216,"ddd"))</f>
        <v/>
      </c>
      <c r="C216" s="4" t="n"/>
      <c r="D216" s="4" t="n"/>
      <c r="E216" s="4" t="n"/>
      <c r="F216" s="4" t="n"/>
      <c r="G216" s="6" t="n"/>
      <c r="H216" s="11">
        <f>IF($C216="","",IF($C216="Equipment",IFERROR(VLOOKUP($E216,EquipRates,IF(AND($F216&lt;&gt;"",$F216&lt;1),3,2),FALSE),0),IFERROR(VLOOKUP($C216,Trucks,2,FALSE),"")))</f>
        <v/>
      </c>
      <c r="I216" s="11">
        <f>IF($C216="","",CEILING(IF($H216&lt;&gt;"",$H216,IF($G216="",0,$G216))*IF($F216="",1,$F216),RoundInc))</f>
        <v/>
      </c>
      <c r="J216" s="4" t="n"/>
      <c r="K216" s="9">
        <f>IF($C216="","",IF(OR($C216="Truck stock",$C216="Purchase",$C216="Tech expense",$C216="Other"),"Yes","No"))</f>
        <v/>
      </c>
      <c r="L216" s="4" t="n"/>
      <c r="M216" s="9">
        <f>IF($A216="","",COUNTIF($A$2:$A216,$A216))</f>
        <v/>
      </c>
      <c r="N216" s="9">
        <f>IF($A216="","",TEXT($A216,"yyyy-mm-dd")&amp;"#"&amp;$M216)</f>
        <v/>
      </c>
    </row>
    <row r="217">
      <c r="A217" s="8" t="n"/>
      <c r="B217" s="9">
        <f>IF($A217="","",TEXT($A217,"ddd"))</f>
        <v/>
      </c>
      <c r="C217" s="4" t="n"/>
      <c r="D217" s="4" t="n"/>
      <c r="E217" s="4" t="n"/>
      <c r="F217" s="4" t="n"/>
      <c r="G217" s="6" t="n"/>
      <c r="H217" s="11">
        <f>IF($C217="","",IF($C217="Equipment",IFERROR(VLOOKUP($E217,EquipRates,IF(AND($F217&lt;&gt;"",$F217&lt;1),3,2),FALSE),0),IFERROR(VLOOKUP($C217,Trucks,2,FALSE),"")))</f>
        <v/>
      </c>
      <c r="I217" s="11">
        <f>IF($C217="","",CEILING(IF($H217&lt;&gt;"",$H217,IF($G217="",0,$G217))*IF($F217="",1,$F217),RoundInc))</f>
        <v/>
      </c>
      <c r="J217" s="4" t="n"/>
      <c r="K217" s="9">
        <f>IF($C217="","",IF(OR($C217="Truck stock",$C217="Purchase",$C217="Tech expense",$C217="Other"),"Yes","No"))</f>
        <v/>
      </c>
      <c r="L217" s="4" t="n"/>
      <c r="M217" s="9">
        <f>IF($A217="","",COUNTIF($A$2:$A217,$A217))</f>
        <v/>
      </c>
      <c r="N217" s="9">
        <f>IF($A217="","",TEXT($A217,"yyyy-mm-dd")&amp;"#"&amp;$M217)</f>
        <v/>
      </c>
    </row>
    <row r="218">
      <c r="A218" s="8" t="n"/>
      <c r="B218" s="9">
        <f>IF($A218="","",TEXT($A218,"ddd"))</f>
        <v/>
      </c>
      <c r="C218" s="4" t="n"/>
      <c r="D218" s="4" t="n"/>
      <c r="E218" s="4" t="n"/>
      <c r="F218" s="4" t="n"/>
      <c r="G218" s="6" t="n"/>
      <c r="H218" s="11">
        <f>IF($C218="","",IF($C218="Equipment",IFERROR(VLOOKUP($E218,EquipRates,IF(AND($F218&lt;&gt;"",$F218&lt;1),3,2),FALSE),0),IFERROR(VLOOKUP($C218,Trucks,2,FALSE),"")))</f>
        <v/>
      </c>
      <c r="I218" s="11">
        <f>IF($C218="","",CEILING(IF($H218&lt;&gt;"",$H218,IF($G218="",0,$G218))*IF($F218="",1,$F218),RoundInc))</f>
        <v/>
      </c>
      <c r="J218" s="4" t="n"/>
      <c r="K218" s="9">
        <f>IF($C218="","",IF(OR($C218="Truck stock",$C218="Purchase",$C218="Tech expense",$C218="Other"),"Yes","No"))</f>
        <v/>
      </c>
      <c r="L218" s="4" t="n"/>
      <c r="M218" s="9">
        <f>IF($A218="","",COUNTIF($A$2:$A218,$A218))</f>
        <v/>
      </c>
      <c r="N218" s="9">
        <f>IF($A218="","",TEXT($A218,"yyyy-mm-dd")&amp;"#"&amp;$M218)</f>
        <v/>
      </c>
    </row>
    <row r="219">
      <c r="A219" s="8" t="n"/>
      <c r="B219" s="9">
        <f>IF($A219="","",TEXT($A219,"ddd"))</f>
        <v/>
      </c>
      <c r="C219" s="4" t="n"/>
      <c r="D219" s="4" t="n"/>
      <c r="E219" s="4" t="n"/>
      <c r="F219" s="4" t="n"/>
      <c r="G219" s="6" t="n"/>
      <c r="H219" s="11">
        <f>IF($C219="","",IF($C219="Equipment",IFERROR(VLOOKUP($E219,EquipRates,IF(AND($F219&lt;&gt;"",$F219&lt;1),3,2),FALSE),0),IFERROR(VLOOKUP($C219,Trucks,2,FALSE),"")))</f>
        <v/>
      </c>
      <c r="I219" s="11">
        <f>IF($C219="","",CEILING(IF($H219&lt;&gt;"",$H219,IF($G219="",0,$G219))*IF($F219="",1,$F219),RoundInc))</f>
        <v/>
      </c>
      <c r="J219" s="4" t="n"/>
      <c r="K219" s="9">
        <f>IF($C219="","",IF(OR($C219="Truck stock",$C219="Purchase",$C219="Tech expense",$C219="Other"),"Yes","No"))</f>
        <v/>
      </c>
      <c r="L219" s="4" t="n"/>
      <c r="M219" s="9">
        <f>IF($A219="","",COUNTIF($A$2:$A219,$A219))</f>
        <v/>
      </c>
      <c r="N219" s="9">
        <f>IF($A219="","",TEXT($A219,"yyyy-mm-dd")&amp;"#"&amp;$M219)</f>
        <v/>
      </c>
    </row>
    <row r="220">
      <c r="A220" s="8" t="n"/>
      <c r="B220" s="9">
        <f>IF($A220="","",TEXT($A220,"ddd"))</f>
        <v/>
      </c>
      <c r="C220" s="4" t="n"/>
      <c r="D220" s="4" t="n"/>
      <c r="E220" s="4" t="n"/>
      <c r="F220" s="4" t="n"/>
      <c r="G220" s="6" t="n"/>
      <c r="H220" s="11">
        <f>IF($C220="","",IF($C220="Equipment",IFERROR(VLOOKUP($E220,EquipRates,IF(AND($F220&lt;&gt;"",$F220&lt;1),3,2),FALSE),0),IFERROR(VLOOKUP($C220,Trucks,2,FALSE),"")))</f>
        <v/>
      </c>
      <c r="I220" s="11">
        <f>IF($C220="","",CEILING(IF($H220&lt;&gt;"",$H220,IF($G220="",0,$G220))*IF($F220="",1,$F220),RoundInc))</f>
        <v/>
      </c>
      <c r="J220" s="4" t="n"/>
      <c r="K220" s="9">
        <f>IF($C220="","",IF(OR($C220="Truck stock",$C220="Purchase",$C220="Tech expense",$C220="Other"),"Yes","No"))</f>
        <v/>
      </c>
      <c r="L220" s="4" t="n"/>
      <c r="M220" s="9">
        <f>IF($A220="","",COUNTIF($A$2:$A220,$A220))</f>
        <v/>
      </c>
      <c r="N220" s="9">
        <f>IF($A220="","",TEXT($A220,"yyyy-mm-dd")&amp;"#"&amp;$M220)</f>
        <v/>
      </c>
    </row>
    <row r="221">
      <c r="A221" s="8" t="n"/>
      <c r="B221" s="9">
        <f>IF($A221="","",TEXT($A221,"ddd"))</f>
        <v/>
      </c>
      <c r="C221" s="4" t="n"/>
      <c r="D221" s="4" t="n"/>
      <c r="E221" s="4" t="n"/>
      <c r="F221" s="4" t="n"/>
      <c r="G221" s="6" t="n"/>
      <c r="H221" s="11">
        <f>IF($C221="","",IF($C221="Equipment",IFERROR(VLOOKUP($E221,EquipRates,IF(AND($F221&lt;&gt;"",$F221&lt;1),3,2),FALSE),0),IFERROR(VLOOKUP($C221,Trucks,2,FALSE),"")))</f>
        <v/>
      </c>
      <c r="I221" s="11">
        <f>IF($C221="","",CEILING(IF($H221&lt;&gt;"",$H221,IF($G221="",0,$G221))*IF($F221="",1,$F221),RoundInc))</f>
        <v/>
      </c>
      <c r="J221" s="4" t="n"/>
      <c r="K221" s="9">
        <f>IF($C221="","",IF(OR($C221="Truck stock",$C221="Purchase",$C221="Tech expense",$C221="Other"),"Yes","No"))</f>
        <v/>
      </c>
      <c r="L221" s="4" t="n"/>
      <c r="M221" s="9">
        <f>IF($A221="","",COUNTIF($A$2:$A221,$A221))</f>
        <v/>
      </c>
      <c r="N221" s="9">
        <f>IF($A221="","",TEXT($A221,"yyyy-mm-dd")&amp;"#"&amp;$M221)</f>
        <v/>
      </c>
    </row>
    <row r="222">
      <c r="A222" s="8" t="n"/>
      <c r="B222" s="9">
        <f>IF($A222="","",TEXT($A222,"ddd"))</f>
        <v/>
      </c>
      <c r="C222" s="4" t="n"/>
      <c r="D222" s="4" t="n"/>
      <c r="E222" s="4" t="n"/>
      <c r="F222" s="4" t="n"/>
      <c r="G222" s="6" t="n"/>
      <c r="H222" s="11">
        <f>IF($C222="","",IF($C222="Equipment",IFERROR(VLOOKUP($E222,EquipRates,IF(AND($F222&lt;&gt;"",$F222&lt;1),3,2),FALSE),0),IFERROR(VLOOKUP($C222,Trucks,2,FALSE),"")))</f>
        <v/>
      </c>
      <c r="I222" s="11">
        <f>IF($C222="","",CEILING(IF($H222&lt;&gt;"",$H222,IF($G222="",0,$G222))*IF($F222="",1,$F222),RoundInc))</f>
        <v/>
      </c>
      <c r="J222" s="4" t="n"/>
      <c r="K222" s="9">
        <f>IF($C222="","",IF(OR($C222="Truck stock",$C222="Purchase",$C222="Tech expense",$C222="Other"),"Yes","No"))</f>
        <v/>
      </c>
      <c r="L222" s="4" t="n"/>
      <c r="M222" s="9">
        <f>IF($A222="","",COUNTIF($A$2:$A222,$A222))</f>
        <v/>
      </c>
      <c r="N222" s="9">
        <f>IF($A222="","",TEXT($A222,"yyyy-mm-dd")&amp;"#"&amp;$M222)</f>
        <v/>
      </c>
    </row>
    <row r="223">
      <c r="A223" s="8" t="n"/>
      <c r="B223" s="9">
        <f>IF($A223="","",TEXT($A223,"ddd"))</f>
        <v/>
      </c>
      <c r="C223" s="4" t="n"/>
      <c r="D223" s="4" t="n"/>
      <c r="E223" s="4" t="n"/>
      <c r="F223" s="4" t="n"/>
      <c r="G223" s="6" t="n"/>
      <c r="H223" s="11">
        <f>IF($C223="","",IF($C223="Equipment",IFERROR(VLOOKUP($E223,EquipRates,IF(AND($F223&lt;&gt;"",$F223&lt;1),3,2),FALSE),0),IFERROR(VLOOKUP($C223,Trucks,2,FALSE),"")))</f>
        <v/>
      </c>
      <c r="I223" s="11">
        <f>IF($C223="","",CEILING(IF($H223&lt;&gt;"",$H223,IF($G223="",0,$G223))*IF($F223="",1,$F223),RoundInc))</f>
        <v/>
      </c>
      <c r="J223" s="4" t="n"/>
      <c r="K223" s="9">
        <f>IF($C223="","",IF(OR($C223="Truck stock",$C223="Purchase",$C223="Tech expense",$C223="Other"),"Yes","No"))</f>
        <v/>
      </c>
      <c r="L223" s="4" t="n"/>
      <c r="M223" s="9">
        <f>IF($A223="","",COUNTIF($A$2:$A223,$A223))</f>
        <v/>
      </c>
      <c r="N223" s="9">
        <f>IF($A223="","",TEXT($A223,"yyyy-mm-dd")&amp;"#"&amp;$M223)</f>
        <v/>
      </c>
    </row>
    <row r="224">
      <c r="A224" s="8" t="n"/>
      <c r="B224" s="9">
        <f>IF($A224="","",TEXT($A224,"ddd"))</f>
        <v/>
      </c>
      <c r="C224" s="4" t="n"/>
      <c r="D224" s="4" t="n"/>
      <c r="E224" s="4" t="n"/>
      <c r="F224" s="4" t="n"/>
      <c r="G224" s="6" t="n"/>
      <c r="H224" s="11">
        <f>IF($C224="","",IF($C224="Equipment",IFERROR(VLOOKUP($E224,EquipRates,IF(AND($F224&lt;&gt;"",$F224&lt;1),3,2),FALSE),0),IFERROR(VLOOKUP($C224,Trucks,2,FALSE),"")))</f>
        <v/>
      </c>
      <c r="I224" s="11">
        <f>IF($C224="","",CEILING(IF($H224&lt;&gt;"",$H224,IF($G224="",0,$G224))*IF($F224="",1,$F224),RoundInc))</f>
        <v/>
      </c>
      <c r="J224" s="4" t="n"/>
      <c r="K224" s="9">
        <f>IF($C224="","",IF(OR($C224="Truck stock",$C224="Purchase",$C224="Tech expense",$C224="Other"),"Yes","No"))</f>
        <v/>
      </c>
      <c r="L224" s="4" t="n"/>
      <c r="M224" s="9">
        <f>IF($A224="","",COUNTIF($A$2:$A224,$A224))</f>
        <v/>
      </c>
      <c r="N224" s="9">
        <f>IF($A224="","",TEXT($A224,"yyyy-mm-dd")&amp;"#"&amp;$M224)</f>
        <v/>
      </c>
    </row>
    <row r="225">
      <c r="A225" s="8" t="n"/>
      <c r="B225" s="9">
        <f>IF($A225="","",TEXT($A225,"ddd"))</f>
        <v/>
      </c>
      <c r="C225" s="4" t="n"/>
      <c r="D225" s="4" t="n"/>
      <c r="E225" s="4" t="n"/>
      <c r="F225" s="4" t="n"/>
      <c r="G225" s="6" t="n"/>
      <c r="H225" s="11">
        <f>IF($C225="","",IF($C225="Equipment",IFERROR(VLOOKUP($E225,EquipRates,IF(AND($F225&lt;&gt;"",$F225&lt;1),3,2),FALSE),0),IFERROR(VLOOKUP($C225,Trucks,2,FALSE),"")))</f>
        <v/>
      </c>
      <c r="I225" s="11">
        <f>IF($C225="","",CEILING(IF($H225&lt;&gt;"",$H225,IF($G225="",0,$G225))*IF($F225="",1,$F225),RoundInc))</f>
        <v/>
      </c>
      <c r="J225" s="4" t="n"/>
      <c r="K225" s="9">
        <f>IF($C225="","",IF(OR($C225="Truck stock",$C225="Purchase",$C225="Tech expense",$C225="Other"),"Yes","No"))</f>
        <v/>
      </c>
      <c r="L225" s="4" t="n"/>
      <c r="M225" s="9">
        <f>IF($A225="","",COUNTIF($A$2:$A225,$A225))</f>
        <v/>
      </c>
      <c r="N225" s="9">
        <f>IF($A225="","",TEXT($A225,"yyyy-mm-dd")&amp;"#"&amp;$M225)</f>
        <v/>
      </c>
    </row>
    <row r="226">
      <c r="A226" s="8" t="n"/>
      <c r="B226" s="9">
        <f>IF($A226="","",TEXT($A226,"ddd"))</f>
        <v/>
      </c>
      <c r="C226" s="4" t="n"/>
      <c r="D226" s="4" t="n"/>
      <c r="E226" s="4" t="n"/>
      <c r="F226" s="4" t="n"/>
      <c r="G226" s="6" t="n"/>
      <c r="H226" s="11">
        <f>IF($C226="","",IF($C226="Equipment",IFERROR(VLOOKUP($E226,EquipRates,IF(AND($F226&lt;&gt;"",$F226&lt;1),3,2),FALSE),0),IFERROR(VLOOKUP($C226,Trucks,2,FALSE),"")))</f>
        <v/>
      </c>
      <c r="I226" s="11">
        <f>IF($C226="","",CEILING(IF($H226&lt;&gt;"",$H226,IF($G226="",0,$G226))*IF($F226="",1,$F226),RoundInc))</f>
        <v/>
      </c>
      <c r="J226" s="4" t="n"/>
      <c r="K226" s="9">
        <f>IF($C226="","",IF(OR($C226="Truck stock",$C226="Purchase",$C226="Tech expense",$C226="Other"),"Yes","No"))</f>
        <v/>
      </c>
      <c r="L226" s="4" t="n"/>
      <c r="M226" s="9">
        <f>IF($A226="","",COUNTIF($A$2:$A226,$A226))</f>
        <v/>
      </c>
      <c r="N226" s="9">
        <f>IF($A226="","",TEXT($A226,"yyyy-mm-dd")&amp;"#"&amp;$M226)</f>
        <v/>
      </c>
    </row>
    <row r="227">
      <c r="A227" s="8" t="n"/>
      <c r="B227" s="9">
        <f>IF($A227="","",TEXT($A227,"ddd"))</f>
        <v/>
      </c>
      <c r="C227" s="4" t="n"/>
      <c r="D227" s="4" t="n"/>
      <c r="E227" s="4" t="n"/>
      <c r="F227" s="4" t="n"/>
      <c r="G227" s="6" t="n"/>
      <c r="H227" s="11">
        <f>IF($C227="","",IF($C227="Equipment",IFERROR(VLOOKUP($E227,EquipRates,IF(AND($F227&lt;&gt;"",$F227&lt;1),3,2),FALSE),0),IFERROR(VLOOKUP($C227,Trucks,2,FALSE),"")))</f>
        <v/>
      </c>
      <c r="I227" s="11">
        <f>IF($C227="","",CEILING(IF($H227&lt;&gt;"",$H227,IF($G227="",0,$G227))*IF($F227="",1,$F227),RoundInc))</f>
        <v/>
      </c>
      <c r="J227" s="4" t="n"/>
      <c r="K227" s="9">
        <f>IF($C227="","",IF(OR($C227="Truck stock",$C227="Purchase",$C227="Tech expense",$C227="Other"),"Yes","No"))</f>
        <v/>
      </c>
      <c r="L227" s="4" t="n"/>
      <c r="M227" s="9">
        <f>IF($A227="","",COUNTIF($A$2:$A227,$A227))</f>
        <v/>
      </c>
      <c r="N227" s="9">
        <f>IF($A227="","",TEXT($A227,"yyyy-mm-dd")&amp;"#"&amp;$M227)</f>
        <v/>
      </c>
    </row>
    <row r="228">
      <c r="A228" s="8" t="n"/>
      <c r="B228" s="9">
        <f>IF($A228="","",TEXT($A228,"ddd"))</f>
        <v/>
      </c>
      <c r="C228" s="4" t="n"/>
      <c r="D228" s="4" t="n"/>
      <c r="E228" s="4" t="n"/>
      <c r="F228" s="4" t="n"/>
      <c r="G228" s="6" t="n"/>
      <c r="H228" s="11">
        <f>IF($C228="","",IF($C228="Equipment",IFERROR(VLOOKUP($E228,EquipRates,IF(AND($F228&lt;&gt;"",$F228&lt;1),3,2),FALSE),0),IFERROR(VLOOKUP($C228,Trucks,2,FALSE),"")))</f>
        <v/>
      </c>
      <c r="I228" s="11">
        <f>IF($C228="","",CEILING(IF($H228&lt;&gt;"",$H228,IF($G228="",0,$G228))*IF($F228="",1,$F228),RoundInc))</f>
        <v/>
      </c>
      <c r="J228" s="4" t="n"/>
      <c r="K228" s="9">
        <f>IF($C228="","",IF(OR($C228="Truck stock",$C228="Purchase",$C228="Tech expense",$C228="Other"),"Yes","No"))</f>
        <v/>
      </c>
      <c r="L228" s="4" t="n"/>
      <c r="M228" s="9">
        <f>IF($A228="","",COUNTIF($A$2:$A228,$A228))</f>
        <v/>
      </c>
      <c r="N228" s="9">
        <f>IF($A228="","",TEXT($A228,"yyyy-mm-dd")&amp;"#"&amp;$M228)</f>
        <v/>
      </c>
    </row>
    <row r="229">
      <c r="A229" s="8" t="n"/>
      <c r="B229" s="9">
        <f>IF($A229="","",TEXT($A229,"ddd"))</f>
        <v/>
      </c>
      <c r="C229" s="4" t="n"/>
      <c r="D229" s="4" t="n"/>
      <c r="E229" s="4" t="n"/>
      <c r="F229" s="4" t="n"/>
      <c r="G229" s="6" t="n"/>
      <c r="H229" s="11">
        <f>IF($C229="","",IF($C229="Equipment",IFERROR(VLOOKUP($E229,EquipRates,IF(AND($F229&lt;&gt;"",$F229&lt;1),3,2),FALSE),0),IFERROR(VLOOKUP($C229,Trucks,2,FALSE),"")))</f>
        <v/>
      </c>
      <c r="I229" s="11">
        <f>IF($C229="","",CEILING(IF($H229&lt;&gt;"",$H229,IF($G229="",0,$G229))*IF($F229="",1,$F229),RoundInc))</f>
        <v/>
      </c>
      <c r="J229" s="4" t="n"/>
      <c r="K229" s="9">
        <f>IF($C229="","",IF(OR($C229="Truck stock",$C229="Purchase",$C229="Tech expense",$C229="Other"),"Yes","No"))</f>
        <v/>
      </c>
      <c r="L229" s="4" t="n"/>
      <c r="M229" s="9">
        <f>IF($A229="","",COUNTIF($A$2:$A229,$A229))</f>
        <v/>
      </c>
      <c r="N229" s="9">
        <f>IF($A229="","",TEXT($A229,"yyyy-mm-dd")&amp;"#"&amp;$M229)</f>
        <v/>
      </c>
    </row>
    <row r="230">
      <c r="A230" s="8" t="n"/>
      <c r="B230" s="9">
        <f>IF($A230="","",TEXT($A230,"ddd"))</f>
        <v/>
      </c>
      <c r="C230" s="4" t="n"/>
      <c r="D230" s="4" t="n"/>
      <c r="E230" s="4" t="n"/>
      <c r="F230" s="4" t="n"/>
      <c r="G230" s="6" t="n"/>
      <c r="H230" s="11">
        <f>IF($C230="","",IF($C230="Equipment",IFERROR(VLOOKUP($E230,EquipRates,IF(AND($F230&lt;&gt;"",$F230&lt;1),3,2),FALSE),0),IFERROR(VLOOKUP($C230,Trucks,2,FALSE),"")))</f>
        <v/>
      </c>
      <c r="I230" s="11">
        <f>IF($C230="","",CEILING(IF($H230&lt;&gt;"",$H230,IF($G230="",0,$G230))*IF($F230="",1,$F230),RoundInc))</f>
        <v/>
      </c>
      <c r="J230" s="4" t="n"/>
      <c r="K230" s="9">
        <f>IF($C230="","",IF(OR($C230="Truck stock",$C230="Purchase",$C230="Tech expense",$C230="Other"),"Yes","No"))</f>
        <v/>
      </c>
      <c r="L230" s="4" t="n"/>
      <c r="M230" s="9">
        <f>IF($A230="","",COUNTIF($A$2:$A230,$A230))</f>
        <v/>
      </c>
      <c r="N230" s="9">
        <f>IF($A230="","",TEXT($A230,"yyyy-mm-dd")&amp;"#"&amp;$M230)</f>
        <v/>
      </c>
    </row>
    <row r="231">
      <c r="A231" s="8" t="n"/>
      <c r="B231" s="9">
        <f>IF($A231="","",TEXT($A231,"ddd"))</f>
        <v/>
      </c>
      <c r="C231" s="4" t="n"/>
      <c r="D231" s="4" t="n"/>
      <c r="E231" s="4" t="n"/>
      <c r="F231" s="4" t="n"/>
      <c r="G231" s="6" t="n"/>
      <c r="H231" s="11">
        <f>IF($C231="","",IF($C231="Equipment",IFERROR(VLOOKUP($E231,EquipRates,IF(AND($F231&lt;&gt;"",$F231&lt;1),3,2),FALSE),0),IFERROR(VLOOKUP($C231,Trucks,2,FALSE),"")))</f>
        <v/>
      </c>
      <c r="I231" s="11">
        <f>IF($C231="","",CEILING(IF($H231&lt;&gt;"",$H231,IF($G231="",0,$G231))*IF($F231="",1,$F231),RoundInc))</f>
        <v/>
      </c>
      <c r="J231" s="4" t="n"/>
      <c r="K231" s="9">
        <f>IF($C231="","",IF(OR($C231="Truck stock",$C231="Purchase",$C231="Tech expense",$C231="Other"),"Yes","No"))</f>
        <v/>
      </c>
      <c r="L231" s="4" t="n"/>
      <c r="M231" s="9">
        <f>IF($A231="","",COUNTIF($A$2:$A231,$A231))</f>
        <v/>
      </c>
      <c r="N231" s="9">
        <f>IF($A231="","",TEXT($A231,"yyyy-mm-dd")&amp;"#"&amp;$M231)</f>
        <v/>
      </c>
    </row>
    <row r="232">
      <c r="A232" s="8" t="n"/>
      <c r="B232" s="9">
        <f>IF($A232="","",TEXT($A232,"ddd"))</f>
        <v/>
      </c>
      <c r="C232" s="4" t="n"/>
      <c r="D232" s="4" t="n"/>
      <c r="E232" s="4" t="n"/>
      <c r="F232" s="4" t="n"/>
      <c r="G232" s="6" t="n"/>
      <c r="H232" s="11">
        <f>IF($C232="","",IF($C232="Equipment",IFERROR(VLOOKUP($E232,EquipRates,IF(AND($F232&lt;&gt;"",$F232&lt;1),3,2),FALSE),0),IFERROR(VLOOKUP($C232,Trucks,2,FALSE),"")))</f>
        <v/>
      </c>
      <c r="I232" s="11">
        <f>IF($C232="","",CEILING(IF($H232&lt;&gt;"",$H232,IF($G232="",0,$G232))*IF($F232="",1,$F232),RoundInc))</f>
        <v/>
      </c>
      <c r="J232" s="4" t="n"/>
      <c r="K232" s="9">
        <f>IF($C232="","",IF(OR($C232="Truck stock",$C232="Purchase",$C232="Tech expense",$C232="Other"),"Yes","No"))</f>
        <v/>
      </c>
      <c r="L232" s="4" t="n"/>
      <c r="M232" s="9">
        <f>IF($A232="","",COUNTIF($A$2:$A232,$A232))</f>
        <v/>
      </c>
      <c r="N232" s="9">
        <f>IF($A232="","",TEXT($A232,"yyyy-mm-dd")&amp;"#"&amp;$M232)</f>
        <v/>
      </c>
    </row>
    <row r="233">
      <c r="A233" s="8" t="n"/>
      <c r="B233" s="9">
        <f>IF($A233="","",TEXT($A233,"ddd"))</f>
        <v/>
      </c>
      <c r="C233" s="4" t="n"/>
      <c r="D233" s="4" t="n"/>
      <c r="E233" s="4" t="n"/>
      <c r="F233" s="4" t="n"/>
      <c r="G233" s="6" t="n"/>
      <c r="H233" s="11">
        <f>IF($C233="","",IF($C233="Equipment",IFERROR(VLOOKUP($E233,EquipRates,IF(AND($F233&lt;&gt;"",$F233&lt;1),3,2),FALSE),0),IFERROR(VLOOKUP($C233,Trucks,2,FALSE),"")))</f>
        <v/>
      </c>
      <c r="I233" s="11">
        <f>IF($C233="","",CEILING(IF($H233&lt;&gt;"",$H233,IF($G233="",0,$G233))*IF($F233="",1,$F233),RoundInc))</f>
        <v/>
      </c>
      <c r="J233" s="4" t="n"/>
      <c r="K233" s="9">
        <f>IF($C233="","",IF(OR($C233="Truck stock",$C233="Purchase",$C233="Tech expense",$C233="Other"),"Yes","No"))</f>
        <v/>
      </c>
      <c r="L233" s="4" t="n"/>
      <c r="M233" s="9">
        <f>IF($A233="","",COUNTIF($A$2:$A233,$A233))</f>
        <v/>
      </c>
      <c r="N233" s="9">
        <f>IF($A233="","",TEXT($A233,"yyyy-mm-dd")&amp;"#"&amp;$M233)</f>
        <v/>
      </c>
    </row>
    <row r="234">
      <c r="A234" s="8" t="n"/>
      <c r="B234" s="9">
        <f>IF($A234="","",TEXT($A234,"ddd"))</f>
        <v/>
      </c>
      <c r="C234" s="4" t="n"/>
      <c r="D234" s="4" t="n"/>
      <c r="E234" s="4" t="n"/>
      <c r="F234" s="4" t="n"/>
      <c r="G234" s="6" t="n"/>
      <c r="H234" s="11">
        <f>IF($C234="","",IF($C234="Equipment",IFERROR(VLOOKUP($E234,EquipRates,IF(AND($F234&lt;&gt;"",$F234&lt;1),3,2),FALSE),0),IFERROR(VLOOKUP($C234,Trucks,2,FALSE),"")))</f>
        <v/>
      </c>
      <c r="I234" s="11">
        <f>IF($C234="","",CEILING(IF($H234&lt;&gt;"",$H234,IF($G234="",0,$G234))*IF($F234="",1,$F234),RoundInc))</f>
        <v/>
      </c>
      <c r="J234" s="4" t="n"/>
      <c r="K234" s="9">
        <f>IF($C234="","",IF(OR($C234="Truck stock",$C234="Purchase",$C234="Tech expense",$C234="Other"),"Yes","No"))</f>
        <v/>
      </c>
      <c r="L234" s="4" t="n"/>
      <c r="M234" s="9">
        <f>IF($A234="","",COUNTIF($A$2:$A234,$A234))</f>
        <v/>
      </c>
      <c r="N234" s="9">
        <f>IF($A234="","",TEXT($A234,"yyyy-mm-dd")&amp;"#"&amp;$M234)</f>
        <v/>
      </c>
    </row>
    <row r="235">
      <c r="A235" s="8" t="n"/>
      <c r="B235" s="9">
        <f>IF($A235="","",TEXT($A235,"ddd"))</f>
        <v/>
      </c>
      <c r="C235" s="4" t="n"/>
      <c r="D235" s="4" t="n"/>
      <c r="E235" s="4" t="n"/>
      <c r="F235" s="4" t="n"/>
      <c r="G235" s="6" t="n"/>
      <c r="H235" s="11">
        <f>IF($C235="","",IF($C235="Equipment",IFERROR(VLOOKUP($E235,EquipRates,IF(AND($F235&lt;&gt;"",$F235&lt;1),3,2),FALSE),0),IFERROR(VLOOKUP($C235,Trucks,2,FALSE),"")))</f>
        <v/>
      </c>
      <c r="I235" s="11">
        <f>IF($C235="","",CEILING(IF($H235&lt;&gt;"",$H235,IF($G235="",0,$G235))*IF($F235="",1,$F235),RoundInc))</f>
        <v/>
      </c>
      <c r="J235" s="4" t="n"/>
      <c r="K235" s="9">
        <f>IF($C235="","",IF(OR($C235="Truck stock",$C235="Purchase",$C235="Tech expense",$C235="Other"),"Yes","No"))</f>
        <v/>
      </c>
      <c r="L235" s="4" t="n"/>
      <c r="M235" s="9">
        <f>IF($A235="","",COUNTIF($A$2:$A235,$A235))</f>
        <v/>
      </c>
      <c r="N235" s="9">
        <f>IF($A235="","",TEXT($A235,"yyyy-mm-dd")&amp;"#"&amp;$M235)</f>
        <v/>
      </c>
    </row>
    <row r="236">
      <c r="A236" s="8" t="n"/>
      <c r="B236" s="9">
        <f>IF($A236="","",TEXT($A236,"ddd"))</f>
        <v/>
      </c>
      <c r="C236" s="4" t="n"/>
      <c r="D236" s="4" t="n"/>
      <c r="E236" s="4" t="n"/>
      <c r="F236" s="4" t="n"/>
      <c r="G236" s="6" t="n"/>
      <c r="H236" s="11">
        <f>IF($C236="","",IF($C236="Equipment",IFERROR(VLOOKUP($E236,EquipRates,IF(AND($F236&lt;&gt;"",$F236&lt;1),3,2),FALSE),0),IFERROR(VLOOKUP($C236,Trucks,2,FALSE),"")))</f>
        <v/>
      </c>
      <c r="I236" s="11">
        <f>IF($C236="","",CEILING(IF($H236&lt;&gt;"",$H236,IF($G236="",0,$G236))*IF($F236="",1,$F236),RoundInc))</f>
        <v/>
      </c>
      <c r="J236" s="4" t="n"/>
      <c r="K236" s="9">
        <f>IF($C236="","",IF(OR($C236="Truck stock",$C236="Purchase",$C236="Tech expense",$C236="Other"),"Yes","No"))</f>
        <v/>
      </c>
      <c r="L236" s="4" t="n"/>
      <c r="M236" s="9">
        <f>IF($A236="","",COUNTIF($A$2:$A236,$A236))</f>
        <v/>
      </c>
      <c r="N236" s="9">
        <f>IF($A236="","",TEXT($A236,"yyyy-mm-dd")&amp;"#"&amp;$M236)</f>
        <v/>
      </c>
    </row>
    <row r="237">
      <c r="A237" s="8" t="n"/>
      <c r="B237" s="9">
        <f>IF($A237="","",TEXT($A237,"ddd"))</f>
        <v/>
      </c>
      <c r="C237" s="4" t="n"/>
      <c r="D237" s="4" t="n"/>
      <c r="E237" s="4" t="n"/>
      <c r="F237" s="4" t="n"/>
      <c r="G237" s="6" t="n"/>
      <c r="H237" s="11">
        <f>IF($C237="","",IF($C237="Equipment",IFERROR(VLOOKUP($E237,EquipRates,IF(AND($F237&lt;&gt;"",$F237&lt;1),3,2),FALSE),0),IFERROR(VLOOKUP($C237,Trucks,2,FALSE),"")))</f>
        <v/>
      </c>
      <c r="I237" s="11">
        <f>IF($C237="","",CEILING(IF($H237&lt;&gt;"",$H237,IF($G237="",0,$G237))*IF($F237="",1,$F237),RoundInc))</f>
        <v/>
      </c>
      <c r="J237" s="4" t="n"/>
      <c r="K237" s="9">
        <f>IF($C237="","",IF(OR($C237="Truck stock",$C237="Purchase",$C237="Tech expense",$C237="Other"),"Yes","No"))</f>
        <v/>
      </c>
      <c r="L237" s="4" t="n"/>
      <c r="M237" s="9">
        <f>IF($A237="","",COUNTIF($A$2:$A237,$A237))</f>
        <v/>
      </c>
      <c r="N237" s="9">
        <f>IF($A237="","",TEXT($A237,"yyyy-mm-dd")&amp;"#"&amp;$M237)</f>
        <v/>
      </c>
    </row>
    <row r="238">
      <c r="A238" s="8" t="n"/>
      <c r="B238" s="9">
        <f>IF($A238="","",TEXT($A238,"ddd"))</f>
        <v/>
      </c>
      <c r="C238" s="4" t="n"/>
      <c r="D238" s="4" t="n"/>
      <c r="E238" s="4" t="n"/>
      <c r="F238" s="4" t="n"/>
      <c r="G238" s="6" t="n"/>
      <c r="H238" s="11">
        <f>IF($C238="","",IF($C238="Equipment",IFERROR(VLOOKUP($E238,EquipRates,IF(AND($F238&lt;&gt;"",$F238&lt;1),3,2),FALSE),0),IFERROR(VLOOKUP($C238,Trucks,2,FALSE),"")))</f>
        <v/>
      </c>
      <c r="I238" s="11">
        <f>IF($C238="","",CEILING(IF($H238&lt;&gt;"",$H238,IF($G238="",0,$G238))*IF($F238="",1,$F238),RoundInc))</f>
        <v/>
      </c>
      <c r="J238" s="4" t="n"/>
      <c r="K238" s="9">
        <f>IF($C238="","",IF(OR($C238="Truck stock",$C238="Purchase",$C238="Tech expense",$C238="Other"),"Yes","No"))</f>
        <v/>
      </c>
      <c r="L238" s="4" t="n"/>
      <c r="M238" s="9">
        <f>IF($A238="","",COUNTIF($A$2:$A238,$A238))</f>
        <v/>
      </c>
      <c r="N238" s="9">
        <f>IF($A238="","",TEXT($A238,"yyyy-mm-dd")&amp;"#"&amp;$M238)</f>
        <v/>
      </c>
    </row>
    <row r="239">
      <c r="A239" s="8" t="n"/>
      <c r="B239" s="9">
        <f>IF($A239="","",TEXT($A239,"ddd"))</f>
        <v/>
      </c>
      <c r="C239" s="4" t="n"/>
      <c r="D239" s="4" t="n"/>
      <c r="E239" s="4" t="n"/>
      <c r="F239" s="4" t="n"/>
      <c r="G239" s="6" t="n"/>
      <c r="H239" s="11">
        <f>IF($C239="","",IF($C239="Equipment",IFERROR(VLOOKUP($E239,EquipRates,IF(AND($F239&lt;&gt;"",$F239&lt;1),3,2),FALSE),0),IFERROR(VLOOKUP($C239,Trucks,2,FALSE),"")))</f>
        <v/>
      </c>
      <c r="I239" s="11">
        <f>IF($C239="","",CEILING(IF($H239&lt;&gt;"",$H239,IF($G239="",0,$G239))*IF($F239="",1,$F239),RoundInc))</f>
        <v/>
      </c>
      <c r="J239" s="4" t="n"/>
      <c r="K239" s="9">
        <f>IF($C239="","",IF(OR($C239="Truck stock",$C239="Purchase",$C239="Tech expense",$C239="Other"),"Yes","No"))</f>
        <v/>
      </c>
      <c r="L239" s="4" t="n"/>
      <c r="M239" s="9">
        <f>IF($A239="","",COUNTIF($A$2:$A239,$A239))</f>
        <v/>
      </c>
      <c r="N239" s="9">
        <f>IF($A239="","",TEXT($A239,"yyyy-mm-dd")&amp;"#"&amp;$M239)</f>
        <v/>
      </c>
    </row>
    <row r="240">
      <c r="A240" s="8" t="n"/>
      <c r="B240" s="9">
        <f>IF($A240="","",TEXT($A240,"ddd"))</f>
        <v/>
      </c>
      <c r="C240" s="4" t="n"/>
      <c r="D240" s="4" t="n"/>
      <c r="E240" s="4" t="n"/>
      <c r="F240" s="4" t="n"/>
      <c r="G240" s="6" t="n"/>
      <c r="H240" s="11">
        <f>IF($C240="","",IF($C240="Equipment",IFERROR(VLOOKUP($E240,EquipRates,IF(AND($F240&lt;&gt;"",$F240&lt;1),3,2),FALSE),0),IFERROR(VLOOKUP($C240,Trucks,2,FALSE),"")))</f>
        <v/>
      </c>
      <c r="I240" s="11">
        <f>IF($C240="","",CEILING(IF($H240&lt;&gt;"",$H240,IF($G240="",0,$G240))*IF($F240="",1,$F240),RoundInc))</f>
        <v/>
      </c>
      <c r="J240" s="4" t="n"/>
      <c r="K240" s="9">
        <f>IF($C240="","",IF(OR($C240="Truck stock",$C240="Purchase",$C240="Tech expense",$C240="Other"),"Yes","No"))</f>
        <v/>
      </c>
      <c r="L240" s="4" t="n"/>
      <c r="M240" s="9">
        <f>IF($A240="","",COUNTIF($A$2:$A240,$A240))</f>
        <v/>
      </c>
      <c r="N240" s="9">
        <f>IF($A240="","",TEXT($A240,"yyyy-mm-dd")&amp;"#"&amp;$M240)</f>
        <v/>
      </c>
    </row>
    <row r="241">
      <c r="A241" s="8" t="n"/>
      <c r="B241" s="9">
        <f>IF($A241="","",TEXT($A241,"ddd"))</f>
        <v/>
      </c>
      <c r="C241" s="4" t="n"/>
      <c r="D241" s="4" t="n"/>
      <c r="E241" s="4" t="n"/>
      <c r="F241" s="4" t="n"/>
      <c r="G241" s="6" t="n"/>
      <c r="H241" s="11">
        <f>IF($C241="","",IF($C241="Equipment",IFERROR(VLOOKUP($E241,EquipRates,IF(AND($F241&lt;&gt;"",$F241&lt;1),3,2),FALSE),0),IFERROR(VLOOKUP($C241,Trucks,2,FALSE),"")))</f>
        <v/>
      </c>
      <c r="I241" s="11">
        <f>IF($C241="","",CEILING(IF($H241&lt;&gt;"",$H241,IF($G241="",0,$G241))*IF($F241="",1,$F241),RoundInc))</f>
        <v/>
      </c>
      <c r="J241" s="4" t="n"/>
      <c r="K241" s="9">
        <f>IF($C241="","",IF(OR($C241="Truck stock",$C241="Purchase",$C241="Tech expense",$C241="Other"),"Yes","No"))</f>
        <v/>
      </c>
      <c r="L241" s="4" t="n"/>
      <c r="M241" s="9">
        <f>IF($A241="","",COUNTIF($A$2:$A241,$A241))</f>
        <v/>
      </c>
      <c r="N241" s="9">
        <f>IF($A241="","",TEXT($A241,"yyyy-mm-dd")&amp;"#"&amp;$M241)</f>
        <v/>
      </c>
    </row>
    <row r="242">
      <c r="A242" s="8" t="n"/>
      <c r="B242" s="9">
        <f>IF($A242="","",TEXT($A242,"ddd"))</f>
        <v/>
      </c>
      <c r="C242" s="4" t="n"/>
      <c r="D242" s="4" t="n"/>
      <c r="E242" s="4" t="n"/>
      <c r="F242" s="4" t="n"/>
      <c r="G242" s="6" t="n"/>
      <c r="H242" s="11">
        <f>IF($C242="","",IF($C242="Equipment",IFERROR(VLOOKUP($E242,EquipRates,IF(AND($F242&lt;&gt;"",$F242&lt;1),3,2),FALSE),0),IFERROR(VLOOKUP($C242,Trucks,2,FALSE),"")))</f>
        <v/>
      </c>
      <c r="I242" s="11">
        <f>IF($C242="","",CEILING(IF($H242&lt;&gt;"",$H242,IF($G242="",0,$G242))*IF($F242="",1,$F242),RoundInc))</f>
        <v/>
      </c>
      <c r="J242" s="4" t="n"/>
      <c r="K242" s="9">
        <f>IF($C242="","",IF(OR($C242="Truck stock",$C242="Purchase",$C242="Tech expense",$C242="Other"),"Yes","No"))</f>
        <v/>
      </c>
      <c r="L242" s="4" t="n"/>
      <c r="M242" s="9">
        <f>IF($A242="","",COUNTIF($A$2:$A242,$A242))</f>
        <v/>
      </c>
      <c r="N242" s="9">
        <f>IF($A242="","",TEXT($A242,"yyyy-mm-dd")&amp;"#"&amp;$M242)</f>
        <v/>
      </c>
    </row>
    <row r="243">
      <c r="A243" s="8" t="n"/>
      <c r="B243" s="9">
        <f>IF($A243="","",TEXT($A243,"ddd"))</f>
        <v/>
      </c>
      <c r="C243" s="4" t="n"/>
      <c r="D243" s="4" t="n"/>
      <c r="E243" s="4" t="n"/>
      <c r="F243" s="4" t="n"/>
      <c r="G243" s="6" t="n"/>
      <c r="H243" s="11">
        <f>IF($C243="","",IF($C243="Equipment",IFERROR(VLOOKUP($E243,EquipRates,IF(AND($F243&lt;&gt;"",$F243&lt;1),3,2),FALSE),0),IFERROR(VLOOKUP($C243,Trucks,2,FALSE),"")))</f>
        <v/>
      </c>
      <c r="I243" s="11">
        <f>IF($C243="","",CEILING(IF($H243&lt;&gt;"",$H243,IF($G243="",0,$G243))*IF($F243="",1,$F243),RoundInc))</f>
        <v/>
      </c>
      <c r="J243" s="4" t="n"/>
      <c r="K243" s="9">
        <f>IF($C243="","",IF(OR($C243="Truck stock",$C243="Purchase",$C243="Tech expense",$C243="Other"),"Yes","No"))</f>
        <v/>
      </c>
      <c r="L243" s="4" t="n"/>
      <c r="M243" s="9">
        <f>IF($A243="","",COUNTIF($A$2:$A243,$A243))</f>
        <v/>
      </c>
      <c r="N243" s="9">
        <f>IF($A243="","",TEXT($A243,"yyyy-mm-dd")&amp;"#"&amp;$M243)</f>
        <v/>
      </c>
    </row>
    <row r="244">
      <c r="A244" s="8" t="n"/>
      <c r="B244" s="9">
        <f>IF($A244="","",TEXT($A244,"ddd"))</f>
        <v/>
      </c>
      <c r="C244" s="4" t="n"/>
      <c r="D244" s="4" t="n"/>
      <c r="E244" s="4" t="n"/>
      <c r="F244" s="4" t="n"/>
      <c r="G244" s="6" t="n"/>
      <c r="H244" s="11">
        <f>IF($C244="","",IF($C244="Equipment",IFERROR(VLOOKUP($E244,EquipRates,IF(AND($F244&lt;&gt;"",$F244&lt;1),3,2),FALSE),0),IFERROR(VLOOKUP($C244,Trucks,2,FALSE),"")))</f>
        <v/>
      </c>
      <c r="I244" s="11">
        <f>IF($C244="","",CEILING(IF($H244&lt;&gt;"",$H244,IF($G244="",0,$G244))*IF($F244="",1,$F244),RoundInc))</f>
        <v/>
      </c>
      <c r="J244" s="4" t="n"/>
      <c r="K244" s="9">
        <f>IF($C244="","",IF(OR($C244="Truck stock",$C244="Purchase",$C244="Tech expense",$C244="Other"),"Yes","No"))</f>
        <v/>
      </c>
      <c r="L244" s="4" t="n"/>
      <c r="M244" s="9">
        <f>IF($A244="","",COUNTIF($A$2:$A244,$A244))</f>
        <v/>
      </c>
      <c r="N244" s="9">
        <f>IF($A244="","",TEXT($A244,"yyyy-mm-dd")&amp;"#"&amp;$M244)</f>
        <v/>
      </c>
    </row>
    <row r="245">
      <c r="A245" s="8" t="n"/>
      <c r="B245" s="9">
        <f>IF($A245="","",TEXT($A245,"ddd"))</f>
        <v/>
      </c>
      <c r="C245" s="4" t="n"/>
      <c r="D245" s="4" t="n"/>
      <c r="E245" s="4" t="n"/>
      <c r="F245" s="4" t="n"/>
      <c r="G245" s="6" t="n"/>
      <c r="H245" s="11">
        <f>IF($C245="","",IF($C245="Equipment",IFERROR(VLOOKUP($E245,EquipRates,IF(AND($F245&lt;&gt;"",$F245&lt;1),3,2),FALSE),0),IFERROR(VLOOKUP($C245,Trucks,2,FALSE),"")))</f>
        <v/>
      </c>
      <c r="I245" s="11">
        <f>IF($C245="","",CEILING(IF($H245&lt;&gt;"",$H245,IF($G245="",0,$G245))*IF($F245="",1,$F245),RoundInc))</f>
        <v/>
      </c>
      <c r="J245" s="4" t="n"/>
      <c r="K245" s="9">
        <f>IF($C245="","",IF(OR($C245="Truck stock",$C245="Purchase",$C245="Tech expense",$C245="Other"),"Yes","No"))</f>
        <v/>
      </c>
      <c r="L245" s="4" t="n"/>
      <c r="M245" s="9">
        <f>IF($A245="","",COUNTIF($A$2:$A245,$A245))</f>
        <v/>
      </c>
      <c r="N245" s="9">
        <f>IF($A245="","",TEXT($A245,"yyyy-mm-dd")&amp;"#"&amp;$M245)</f>
        <v/>
      </c>
    </row>
    <row r="246">
      <c r="A246" s="8" t="n"/>
      <c r="B246" s="9">
        <f>IF($A246="","",TEXT($A246,"ddd"))</f>
        <v/>
      </c>
      <c r="C246" s="4" t="n"/>
      <c r="D246" s="4" t="n"/>
      <c r="E246" s="4" t="n"/>
      <c r="F246" s="4" t="n"/>
      <c r="G246" s="6" t="n"/>
      <c r="H246" s="11">
        <f>IF($C246="","",IF($C246="Equipment",IFERROR(VLOOKUP($E246,EquipRates,IF(AND($F246&lt;&gt;"",$F246&lt;1),3,2),FALSE),0),IFERROR(VLOOKUP($C246,Trucks,2,FALSE),"")))</f>
        <v/>
      </c>
      <c r="I246" s="11">
        <f>IF($C246="","",CEILING(IF($H246&lt;&gt;"",$H246,IF($G246="",0,$G246))*IF($F246="",1,$F246),RoundInc))</f>
        <v/>
      </c>
      <c r="J246" s="4" t="n"/>
      <c r="K246" s="9">
        <f>IF($C246="","",IF(OR($C246="Truck stock",$C246="Purchase",$C246="Tech expense",$C246="Other"),"Yes","No"))</f>
        <v/>
      </c>
      <c r="L246" s="4" t="n"/>
      <c r="M246" s="9">
        <f>IF($A246="","",COUNTIF($A$2:$A246,$A246))</f>
        <v/>
      </c>
      <c r="N246" s="9">
        <f>IF($A246="","",TEXT($A246,"yyyy-mm-dd")&amp;"#"&amp;$M246)</f>
        <v/>
      </c>
    </row>
    <row r="247">
      <c r="A247" s="8" t="n"/>
      <c r="B247" s="9">
        <f>IF($A247="","",TEXT($A247,"ddd"))</f>
        <v/>
      </c>
      <c r="C247" s="4" t="n"/>
      <c r="D247" s="4" t="n"/>
      <c r="E247" s="4" t="n"/>
      <c r="F247" s="4" t="n"/>
      <c r="G247" s="6" t="n"/>
      <c r="H247" s="11">
        <f>IF($C247="","",IF($C247="Equipment",IFERROR(VLOOKUP($E247,EquipRates,IF(AND($F247&lt;&gt;"",$F247&lt;1),3,2),FALSE),0),IFERROR(VLOOKUP($C247,Trucks,2,FALSE),"")))</f>
        <v/>
      </c>
      <c r="I247" s="11">
        <f>IF($C247="","",CEILING(IF($H247&lt;&gt;"",$H247,IF($G247="",0,$G247))*IF($F247="",1,$F247),RoundInc))</f>
        <v/>
      </c>
      <c r="J247" s="4" t="n"/>
      <c r="K247" s="9">
        <f>IF($C247="","",IF(OR($C247="Truck stock",$C247="Purchase",$C247="Tech expense",$C247="Other"),"Yes","No"))</f>
        <v/>
      </c>
      <c r="L247" s="4" t="n"/>
      <c r="M247" s="9">
        <f>IF($A247="","",COUNTIF($A$2:$A247,$A247))</f>
        <v/>
      </c>
      <c r="N247" s="9">
        <f>IF($A247="","",TEXT($A247,"yyyy-mm-dd")&amp;"#"&amp;$M247)</f>
        <v/>
      </c>
    </row>
    <row r="248">
      <c r="A248" s="8" t="n"/>
      <c r="B248" s="9">
        <f>IF($A248="","",TEXT($A248,"ddd"))</f>
        <v/>
      </c>
      <c r="C248" s="4" t="n"/>
      <c r="D248" s="4" t="n"/>
      <c r="E248" s="4" t="n"/>
      <c r="F248" s="4" t="n"/>
      <c r="G248" s="6" t="n"/>
      <c r="H248" s="11">
        <f>IF($C248="","",IF($C248="Equipment",IFERROR(VLOOKUP($E248,EquipRates,IF(AND($F248&lt;&gt;"",$F248&lt;1),3,2),FALSE),0),IFERROR(VLOOKUP($C248,Trucks,2,FALSE),"")))</f>
        <v/>
      </c>
      <c r="I248" s="11">
        <f>IF($C248="","",CEILING(IF($H248&lt;&gt;"",$H248,IF($G248="",0,$G248))*IF($F248="",1,$F248),RoundInc))</f>
        <v/>
      </c>
      <c r="J248" s="4" t="n"/>
      <c r="K248" s="9">
        <f>IF($C248="","",IF(OR($C248="Truck stock",$C248="Purchase",$C248="Tech expense",$C248="Other"),"Yes","No"))</f>
        <v/>
      </c>
      <c r="L248" s="4" t="n"/>
      <c r="M248" s="9">
        <f>IF($A248="","",COUNTIF($A$2:$A248,$A248))</f>
        <v/>
      </c>
      <c r="N248" s="9">
        <f>IF($A248="","",TEXT($A248,"yyyy-mm-dd")&amp;"#"&amp;$M248)</f>
        <v/>
      </c>
    </row>
    <row r="249">
      <c r="A249" s="8" t="n"/>
      <c r="B249" s="9">
        <f>IF($A249="","",TEXT($A249,"ddd"))</f>
        <v/>
      </c>
      <c r="C249" s="4" t="n"/>
      <c r="D249" s="4" t="n"/>
      <c r="E249" s="4" t="n"/>
      <c r="F249" s="4" t="n"/>
      <c r="G249" s="6" t="n"/>
      <c r="H249" s="11">
        <f>IF($C249="","",IF($C249="Equipment",IFERROR(VLOOKUP($E249,EquipRates,IF(AND($F249&lt;&gt;"",$F249&lt;1),3,2),FALSE),0),IFERROR(VLOOKUP($C249,Trucks,2,FALSE),"")))</f>
        <v/>
      </c>
      <c r="I249" s="11">
        <f>IF($C249="","",CEILING(IF($H249&lt;&gt;"",$H249,IF($G249="",0,$G249))*IF($F249="",1,$F249),RoundInc))</f>
        <v/>
      </c>
      <c r="J249" s="4" t="n"/>
      <c r="K249" s="9">
        <f>IF($C249="","",IF(OR($C249="Truck stock",$C249="Purchase",$C249="Tech expense",$C249="Other"),"Yes","No"))</f>
        <v/>
      </c>
      <c r="L249" s="4" t="n"/>
      <c r="M249" s="9">
        <f>IF($A249="","",COUNTIF($A$2:$A249,$A249))</f>
        <v/>
      </c>
      <c r="N249" s="9">
        <f>IF($A249="","",TEXT($A249,"yyyy-mm-dd")&amp;"#"&amp;$M249)</f>
        <v/>
      </c>
    </row>
    <row r="250">
      <c r="A250" s="8" t="n"/>
      <c r="B250" s="9">
        <f>IF($A250="","",TEXT($A250,"ddd"))</f>
        <v/>
      </c>
      <c r="C250" s="4" t="n"/>
      <c r="D250" s="4" t="n"/>
      <c r="E250" s="4" t="n"/>
      <c r="F250" s="4" t="n"/>
      <c r="G250" s="6" t="n"/>
      <c r="H250" s="11">
        <f>IF($C250="","",IF($C250="Equipment",IFERROR(VLOOKUP($E250,EquipRates,IF(AND($F250&lt;&gt;"",$F250&lt;1),3,2),FALSE),0),IFERROR(VLOOKUP($C250,Trucks,2,FALSE),"")))</f>
        <v/>
      </c>
      <c r="I250" s="11">
        <f>IF($C250="","",CEILING(IF($H250&lt;&gt;"",$H250,IF($G250="",0,$G250))*IF($F250="",1,$F250),RoundInc))</f>
        <v/>
      </c>
      <c r="J250" s="4" t="n"/>
      <c r="K250" s="9">
        <f>IF($C250="","",IF(OR($C250="Truck stock",$C250="Purchase",$C250="Tech expense",$C250="Other"),"Yes","No"))</f>
        <v/>
      </c>
      <c r="L250" s="4" t="n"/>
      <c r="M250" s="9">
        <f>IF($A250="","",COUNTIF($A$2:$A250,$A250))</f>
        <v/>
      </c>
      <c r="N250" s="9">
        <f>IF($A250="","",TEXT($A250,"yyyy-mm-dd")&amp;"#"&amp;$M250)</f>
        <v/>
      </c>
    </row>
    <row r="251">
      <c r="A251" s="8" t="n"/>
      <c r="B251" s="9">
        <f>IF($A251="","",TEXT($A251,"ddd"))</f>
        <v/>
      </c>
      <c r="C251" s="4" t="n"/>
      <c r="D251" s="4" t="n"/>
      <c r="E251" s="4" t="n"/>
      <c r="F251" s="4" t="n"/>
      <c r="G251" s="6" t="n"/>
      <c r="H251" s="11">
        <f>IF($C251="","",IF($C251="Equipment",IFERROR(VLOOKUP($E251,EquipRates,IF(AND($F251&lt;&gt;"",$F251&lt;1),3,2),FALSE),0),IFERROR(VLOOKUP($C251,Trucks,2,FALSE),"")))</f>
        <v/>
      </c>
      <c r="I251" s="11">
        <f>IF($C251="","",CEILING(IF($H251&lt;&gt;"",$H251,IF($G251="",0,$G251))*IF($F251="",1,$F251),RoundInc))</f>
        <v/>
      </c>
      <c r="J251" s="4" t="n"/>
      <c r="K251" s="9">
        <f>IF($C251="","",IF(OR($C251="Truck stock",$C251="Purchase",$C251="Tech expense",$C251="Other"),"Yes","No"))</f>
        <v/>
      </c>
      <c r="L251" s="4" t="n"/>
      <c r="M251" s="9">
        <f>IF($A251="","",COUNTIF($A$2:$A251,$A251))</f>
        <v/>
      </c>
      <c r="N251" s="9">
        <f>IF($A251="","",TEXT($A251,"yyyy-mm-dd")&amp;"#"&amp;$M251)</f>
        <v/>
      </c>
    </row>
    <row r="252">
      <c r="A252" s="8" t="n"/>
      <c r="B252" s="9">
        <f>IF($A252="","",TEXT($A252,"ddd"))</f>
        <v/>
      </c>
      <c r="C252" s="4" t="n"/>
      <c r="D252" s="4" t="n"/>
      <c r="E252" s="4" t="n"/>
      <c r="F252" s="4" t="n"/>
      <c r="G252" s="6" t="n"/>
      <c r="H252" s="11">
        <f>IF($C252="","",IF($C252="Equipment",IFERROR(VLOOKUP($E252,EquipRates,IF(AND($F252&lt;&gt;"",$F252&lt;1),3,2),FALSE),0),IFERROR(VLOOKUP($C252,Trucks,2,FALSE),"")))</f>
        <v/>
      </c>
      <c r="I252" s="11">
        <f>IF($C252="","",CEILING(IF($H252&lt;&gt;"",$H252,IF($G252="",0,$G252))*IF($F252="",1,$F252),RoundInc))</f>
        <v/>
      </c>
      <c r="J252" s="4" t="n"/>
      <c r="K252" s="9">
        <f>IF($C252="","",IF(OR($C252="Truck stock",$C252="Purchase",$C252="Tech expense",$C252="Other"),"Yes","No"))</f>
        <v/>
      </c>
      <c r="L252" s="4" t="n"/>
      <c r="M252" s="9">
        <f>IF($A252="","",COUNTIF($A$2:$A252,$A252))</f>
        <v/>
      </c>
      <c r="N252" s="9">
        <f>IF($A252="","",TEXT($A252,"yyyy-mm-dd")&amp;"#"&amp;$M252)</f>
        <v/>
      </c>
    </row>
    <row r="253">
      <c r="A253" s="8" t="n"/>
      <c r="B253" s="9">
        <f>IF($A253="","",TEXT($A253,"ddd"))</f>
        <v/>
      </c>
      <c r="C253" s="4" t="n"/>
      <c r="D253" s="4" t="n"/>
      <c r="E253" s="4" t="n"/>
      <c r="F253" s="4" t="n"/>
      <c r="G253" s="6" t="n"/>
      <c r="H253" s="11">
        <f>IF($C253="","",IF($C253="Equipment",IFERROR(VLOOKUP($E253,EquipRates,IF(AND($F253&lt;&gt;"",$F253&lt;1),3,2),FALSE),0),IFERROR(VLOOKUP($C253,Trucks,2,FALSE),"")))</f>
        <v/>
      </c>
      <c r="I253" s="11">
        <f>IF($C253="","",CEILING(IF($H253&lt;&gt;"",$H253,IF($G253="",0,$G253))*IF($F253="",1,$F253),RoundInc))</f>
        <v/>
      </c>
      <c r="J253" s="4" t="n"/>
      <c r="K253" s="9">
        <f>IF($C253="","",IF(OR($C253="Truck stock",$C253="Purchase",$C253="Tech expense",$C253="Other"),"Yes","No"))</f>
        <v/>
      </c>
      <c r="L253" s="4" t="n"/>
      <c r="M253" s="9">
        <f>IF($A253="","",COUNTIF($A$2:$A253,$A253))</f>
        <v/>
      </c>
      <c r="N253" s="9">
        <f>IF($A253="","",TEXT($A253,"yyyy-mm-dd")&amp;"#"&amp;$M253)</f>
        <v/>
      </c>
    </row>
    <row r="254">
      <c r="A254" s="8" t="n"/>
      <c r="B254" s="9">
        <f>IF($A254="","",TEXT($A254,"ddd"))</f>
        <v/>
      </c>
      <c r="C254" s="4" t="n"/>
      <c r="D254" s="4" t="n"/>
      <c r="E254" s="4" t="n"/>
      <c r="F254" s="4" t="n"/>
      <c r="G254" s="6" t="n"/>
      <c r="H254" s="11">
        <f>IF($C254="","",IF($C254="Equipment",IFERROR(VLOOKUP($E254,EquipRates,IF(AND($F254&lt;&gt;"",$F254&lt;1),3,2),FALSE),0),IFERROR(VLOOKUP($C254,Trucks,2,FALSE),"")))</f>
        <v/>
      </c>
      <c r="I254" s="11">
        <f>IF($C254="","",CEILING(IF($H254&lt;&gt;"",$H254,IF($G254="",0,$G254))*IF($F254="",1,$F254),RoundInc))</f>
        <v/>
      </c>
      <c r="J254" s="4" t="n"/>
      <c r="K254" s="9">
        <f>IF($C254="","",IF(OR($C254="Truck stock",$C254="Purchase",$C254="Tech expense",$C254="Other"),"Yes","No"))</f>
        <v/>
      </c>
      <c r="L254" s="4" t="n"/>
      <c r="M254" s="9">
        <f>IF($A254="","",COUNTIF($A$2:$A254,$A254))</f>
        <v/>
      </c>
      <c r="N254" s="9">
        <f>IF($A254="","",TEXT($A254,"yyyy-mm-dd")&amp;"#"&amp;$M254)</f>
        <v/>
      </c>
    </row>
    <row r="255">
      <c r="A255" s="8" t="n"/>
      <c r="B255" s="9">
        <f>IF($A255="","",TEXT($A255,"ddd"))</f>
        <v/>
      </c>
      <c r="C255" s="4" t="n"/>
      <c r="D255" s="4" t="n"/>
      <c r="E255" s="4" t="n"/>
      <c r="F255" s="4" t="n"/>
      <c r="G255" s="6" t="n"/>
      <c r="H255" s="11">
        <f>IF($C255="","",IF($C255="Equipment",IFERROR(VLOOKUP($E255,EquipRates,IF(AND($F255&lt;&gt;"",$F255&lt;1),3,2),FALSE),0),IFERROR(VLOOKUP($C255,Trucks,2,FALSE),"")))</f>
        <v/>
      </c>
      <c r="I255" s="11">
        <f>IF($C255="","",CEILING(IF($H255&lt;&gt;"",$H255,IF($G255="",0,$G255))*IF($F255="",1,$F255),RoundInc))</f>
        <v/>
      </c>
      <c r="J255" s="4" t="n"/>
      <c r="K255" s="9">
        <f>IF($C255="","",IF(OR($C255="Truck stock",$C255="Purchase",$C255="Tech expense",$C255="Other"),"Yes","No"))</f>
        <v/>
      </c>
      <c r="L255" s="4" t="n"/>
      <c r="M255" s="9">
        <f>IF($A255="","",COUNTIF($A$2:$A255,$A255))</f>
        <v/>
      </c>
      <c r="N255" s="9">
        <f>IF($A255="","",TEXT($A255,"yyyy-mm-dd")&amp;"#"&amp;$M255)</f>
        <v/>
      </c>
    </row>
    <row r="256">
      <c r="A256" s="8" t="n"/>
      <c r="B256" s="9">
        <f>IF($A256="","",TEXT($A256,"ddd"))</f>
        <v/>
      </c>
      <c r="C256" s="4" t="n"/>
      <c r="D256" s="4" t="n"/>
      <c r="E256" s="4" t="n"/>
      <c r="F256" s="4" t="n"/>
      <c r="G256" s="6" t="n"/>
      <c r="H256" s="11">
        <f>IF($C256="","",IF($C256="Equipment",IFERROR(VLOOKUP($E256,EquipRates,IF(AND($F256&lt;&gt;"",$F256&lt;1),3,2),FALSE),0),IFERROR(VLOOKUP($C256,Trucks,2,FALSE),"")))</f>
        <v/>
      </c>
      <c r="I256" s="11">
        <f>IF($C256="","",CEILING(IF($H256&lt;&gt;"",$H256,IF($G256="",0,$G256))*IF($F256="",1,$F256),RoundInc))</f>
        <v/>
      </c>
      <c r="J256" s="4" t="n"/>
      <c r="K256" s="9">
        <f>IF($C256="","",IF(OR($C256="Truck stock",$C256="Purchase",$C256="Tech expense",$C256="Other"),"Yes","No"))</f>
        <v/>
      </c>
      <c r="L256" s="4" t="n"/>
      <c r="M256" s="9">
        <f>IF($A256="","",COUNTIF($A$2:$A256,$A256))</f>
        <v/>
      </c>
      <c r="N256" s="9">
        <f>IF($A256="","",TEXT($A256,"yyyy-mm-dd")&amp;"#"&amp;$M256)</f>
        <v/>
      </c>
    </row>
    <row r="257">
      <c r="A257" s="8" t="n"/>
      <c r="B257" s="9">
        <f>IF($A257="","",TEXT($A257,"ddd"))</f>
        <v/>
      </c>
      <c r="C257" s="4" t="n"/>
      <c r="D257" s="4" t="n"/>
      <c r="E257" s="4" t="n"/>
      <c r="F257" s="4" t="n"/>
      <c r="G257" s="6" t="n"/>
      <c r="H257" s="11">
        <f>IF($C257="","",IF($C257="Equipment",IFERROR(VLOOKUP($E257,EquipRates,IF(AND($F257&lt;&gt;"",$F257&lt;1),3,2),FALSE),0),IFERROR(VLOOKUP($C257,Trucks,2,FALSE),"")))</f>
        <v/>
      </c>
      <c r="I257" s="11">
        <f>IF($C257="","",CEILING(IF($H257&lt;&gt;"",$H257,IF($G257="",0,$G257))*IF($F257="",1,$F257),RoundInc))</f>
        <v/>
      </c>
      <c r="J257" s="4" t="n"/>
      <c r="K257" s="9">
        <f>IF($C257="","",IF(OR($C257="Truck stock",$C257="Purchase",$C257="Tech expense",$C257="Other"),"Yes","No"))</f>
        <v/>
      </c>
      <c r="L257" s="4" t="n"/>
      <c r="M257" s="9">
        <f>IF($A257="","",COUNTIF($A$2:$A257,$A257))</f>
        <v/>
      </c>
      <c r="N257" s="9">
        <f>IF($A257="","",TEXT($A257,"yyyy-mm-dd")&amp;"#"&amp;$M257)</f>
        <v/>
      </c>
    </row>
    <row r="258">
      <c r="A258" s="8" t="n"/>
      <c r="B258" s="9">
        <f>IF($A258="","",TEXT($A258,"ddd"))</f>
        <v/>
      </c>
      <c r="C258" s="4" t="n"/>
      <c r="D258" s="4" t="n"/>
      <c r="E258" s="4" t="n"/>
      <c r="F258" s="4" t="n"/>
      <c r="G258" s="6" t="n"/>
      <c r="H258" s="11">
        <f>IF($C258="","",IF($C258="Equipment",IFERROR(VLOOKUP($E258,EquipRates,IF(AND($F258&lt;&gt;"",$F258&lt;1),3,2),FALSE),0),IFERROR(VLOOKUP($C258,Trucks,2,FALSE),"")))</f>
        <v/>
      </c>
      <c r="I258" s="11">
        <f>IF($C258="","",CEILING(IF($H258&lt;&gt;"",$H258,IF($G258="",0,$G258))*IF($F258="",1,$F258),RoundInc))</f>
        <v/>
      </c>
      <c r="J258" s="4" t="n"/>
      <c r="K258" s="9">
        <f>IF($C258="","",IF(OR($C258="Truck stock",$C258="Purchase",$C258="Tech expense",$C258="Other"),"Yes","No"))</f>
        <v/>
      </c>
      <c r="L258" s="4" t="n"/>
      <c r="M258" s="9">
        <f>IF($A258="","",COUNTIF($A$2:$A258,$A258))</f>
        <v/>
      </c>
      <c r="N258" s="9">
        <f>IF($A258="","",TEXT($A258,"yyyy-mm-dd")&amp;"#"&amp;$M258)</f>
        <v/>
      </c>
    </row>
    <row r="259">
      <c r="A259" s="8" t="n"/>
      <c r="B259" s="9">
        <f>IF($A259="","",TEXT($A259,"ddd"))</f>
        <v/>
      </c>
      <c r="C259" s="4" t="n"/>
      <c r="D259" s="4" t="n"/>
      <c r="E259" s="4" t="n"/>
      <c r="F259" s="4" t="n"/>
      <c r="G259" s="6" t="n"/>
      <c r="H259" s="11">
        <f>IF($C259="","",IF($C259="Equipment",IFERROR(VLOOKUP($E259,EquipRates,IF(AND($F259&lt;&gt;"",$F259&lt;1),3,2),FALSE),0),IFERROR(VLOOKUP($C259,Trucks,2,FALSE),"")))</f>
        <v/>
      </c>
      <c r="I259" s="11">
        <f>IF($C259="","",CEILING(IF($H259&lt;&gt;"",$H259,IF($G259="",0,$G259))*IF($F259="",1,$F259),RoundInc))</f>
        <v/>
      </c>
      <c r="J259" s="4" t="n"/>
      <c r="K259" s="9">
        <f>IF($C259="","",IF(OR($C259="Truck stock",$C259="Purchase",$C259="Tech expense",$C259="Other"),"Yes","No"))</f>
        <v/>
      </c>
      <c r="L259" s="4" t="n"/>
      <c r="M259" s="9">
        <f>IF($A259="","",COUNTIF($A$2:$A259,$A259))</f>
        <v/>
      </c>
      <c r="N259" s="9">
        <f>IF($A259="","",TEXT($A259,"yyyy-mm-dd")&amp;"#"&amp;$M259)</f>
        <v/>
      </c>
    </row>
    <row r="260">
      <c r="A260" s="8" t="n"/>
      <c r="B260" s="9">
        <f>IF($A260="","",TEXT($A260,"ddd"))</f>
        <v/>
      </c>
      <c r="C260" s="4" t="n"/>
      <c r="D260" s="4" t="n"/>
      <c r="E260" s="4" t="n"/>
      <c r="F260" s="4" t="n"/>
      <c r="G260" s="6" t="n"/>
      <c r="H260" s="11">
        <f>IF($C260="","",IF($C260="Equipment",IFERROR(VLOOKUP($E260,EquipRates,IF(AND($F260&lt;&gt;"",$F260&lt;1),3,2),FALSE),0),IFERROR(VLOOKUP($C260,Trucks,2,FALSE),"")))</f>
        <v/>
      </c>
      <c r="I260" s="11">
        <f>IF($C260="","",CEILING(IF($H260&lt;&gt;"",$H260,IF($G260="",0,$G260))*IF($F260="",1,$F260),RoundInc))</f>
        <v/>
      </c>
      <c r="J260" s="4" t="n"/>
      <c r="K260" s="9">
        <f>IF($C260="","",IF(OR($C260="Truck stock",$C260="Purchase",$C260="Tech expense",$C260="Other"),"Yes","No"))</f>
        <v/>
      </c>
      <c r="L260" s="4" t="n"/>
      <c r="M260" s="9">
        <f>IF($A260="","",COUNTIF($A$2:$A260,$A260))</f>
        <v/>
      </c>
      <c r="N260" s="9">
        <f>IF($A260="","",TEXT($A260,"yyyy-mm-dd")&amp;"#"&amp;$M260)</f>
        <v/>
      </c>
    </row>
    <row r="261">
      <c r="A261" s="8" t="n"/>
      <c r="B261" s="9">
        <f>IF($A261="","",TEXT($A261,"ddd"))</f>
        <v/>
      </c>
      <c r="C261" s="4" t="n"/>
      <c r="D261" s="4" t="n"/>
      <c r="E261" s="4" t="n"/>
      <c r="F261" s="4" t="n"/>
      <c r="G261" s="6" t="n"/>
      <c r="H261" s="11">
        <f>IF($C261="","",IF($C261="Equipment",IFERROR(VLOOKUP($E261,EquipRates,IF(AND($F261&lt;&gt;"",$F261&lt;1),3,2),FALSE),0),IFERROR(VLOOKUP($C261,Trucks,2,FALSE),"")))</f>
        <v/>
      </c>
      <c r="I261" s="11">
        <f>IF($C261="","",CEILING(IF($H261&lt;&gt;"",$H261,IF($G261="",0,$G261))*IF($F261="",1,$F261),RoundInc))</f>
        <v/>
      </c>
      <c r="J261" s="4" t="n"/>
      <c r="K261" s="9">
        <f>IF($C261="","",IF(OR($C261="Truck stock",$C261="Purchase",$C261="Tech expense",$C261="Other"),"Yes","No"))</f>
        <v/>
      </c>
      <c r="L261" s="4" t="n"/>
      <c r="M261" s="9">
        <f>IF($A261="","",COUNTIF($A$2:$A261,$A261))</f>
        <v/>
      </c>
      <c r="N261" s="9">
        <f>IF($A261="","",TEXT($A261,"yyyy-mm-dd")&amp;"#"&amp;$M261)</f>
        <v/>
      </c>
    </row>
    <row r="262">
      <c r="A262" s="8" t="n"/>
      <c r="B262" s="9">
        <f>IF($A262="","",TEXT($A262,"ddd"))</f>
        <v/>
      </c>
      <c r="C262" s="4" t="n"/>
      <c r="D262" s="4" t="n"/>
      <c r="E262" s="4" t="n"/>
      <c r="F262" s="4" t="n"/>
      <c r="G262" s="6" t="n"/>
      <c r="H262" s="11">
        <f>IF($C262="","",IF($C262="Equipment",IFERROR(VLOOKUP($E262,EquipRates,IF(AND($F262&lt;&gt;"",$F262&lt;1),3,2),FALSE),0),IFERROR(VLOOKUP($C262,Trucks,2,FALSE),"")))</f>
        <v/>
      </c>
      <c r="I262" s="11">
        <f>IF($C262="","",CEILING(IF($H262&lt;&gt;"",$H262,IF($G262="",0,$G262))*IF($F262="",1,$F262),RoundInc))</f>
        <v/>
      </c>
      <c r="J262" s="4" t="n"/>
      <c r="K262" s="9">
        <f>IF($C262="","",IF(OR($C262="Truck stock",$C262="Purchase",$C262="Tech expense",$C262="Other"),"Yes","No"))</f>
        <v/>
      </c>
      <c r="L262" s="4" t="n"/>
      <c r="M262" s="9">
        <f>IF($A262="","",COUNTIF($A$2:$A262,$A262))</f>
        <v/>
      </c>
      <c r="N262" s="9">
        <f>IF($A262="","",TEXT($A262,"yyyy-mm-dd")&amp;"#"&amp;$M262)</f>
        <v/>
      </c>
    </row>
    <row r="263">
      <c r="A263" s="8" t="n"/>
      <c r="B263" s="9">
        <f>IF($A263="","",TEXT($A263,"ddd"))</f>
        <v/>
      </c>
      <c r="C263" s="4" t="n"/>
      <c r="D263" s="4" t="n"/>
      <c r="E263" s="4" t="n"/>
      <c r="F263" s="4" t="n"/>
      <c r="G263" s="6" t="n"/>
      <c r="H263" s="11">
        <f>IF($C263="","",IF($C263="Equipment",IFERROR(VLOOKUP($E263,EquipRates,IF(AND($F263&lt;&gt;"",$F263&lt;1),3,2),FALSE),0),IFERROR(VLOOKUP($C263,Trucks,2,FALSE),"")))</f>
        <v/>
      </c>
      <c r="I263" s="11">
        <f>IF($C263="","",CEILING(IF($H263&lt;&gt;"",$H263,IF($G263="",0,$G263))*IF($F263="",1,$F263),RoundInc))</f>
        <v/>
      </c>
      <c r="J263" s="4" t="n"/>
      <c r="K263" s="9">
        <f>IF($C263="","",IF(OR($C263="Truck stock",$C263="Purchase",$C263="Tech expense",$C263="Other"),"Yes","No"))</f>
        <v/>
      </c>
      <c r="L263" s="4" t="n"/>
      <c r="M263" s="9">
        <f>IF($A263="","",COUNTIF($A$2:$A263,$A263))</f>
        <v/>
      </c>
      <c r="N263" s="9">
        <f>IF($A263="","",TEXT($A263,"yyyy-mm-dd")&amp;"#"&amp;$M263)</f>
        <v/>
      </c>
    </row>
    <row r="264">
      <c r="A264" s="8" t="n"/>
      <c r="B264" s="9">
        <f>IF($A264="","",TEXT($A264,"ddd"))</f>
        <v/>
      </c>
      <c r="C264" s="4" t="n"/>
      <c r="D264" s="4" t="n"/>
      <c r="E264" s="4" t="n"/>
      <c r="F264" s="4" t="n"/>
      <c r="G264" s="6" t="n"/>
      <c r="H264" s="11">
        <f>IF($C264="","",IF($C264="Equipment",IFERROR(VLOOKUP($E264,EquipRates,IF(AND($F264&lt;&gt;"",$F264&lt;1),3,2),FALSE),0),IFERROR(VLOOKUP($C264,Trucks,2,FALSE),"")))</f>
        <v/>
      </c>
      <c r="I264" s="11">
        <f>IF($C264="","",CEILING(IF($H264&lt;&gt;"",$H264,IF($G264="",0,$G264))*IF($F264="",1,$F264),RoundInc))</f>
        <v/>
      </c>
      <c r="J264" s="4" t="n"/>
      <c r="K264" s="9">
        <f>IF($C264="","",IF(OR($C264="Truck stock",$C264="Purchase",$C264="Tech expense",$C264="Other"),"Yes","No"))</f>
        <v/>
      </c>
      <c r="L264" s="4" t="n"/>
      <c r="M264" s="9">
        <f>IF($A264="","",COUNTIF($A$2:$A264,$A264))</f>
        <v/>
      </c>
      <c r="N264" s="9">
        <f>IF($A264="","",TEXT($A264,"yyyy-mm-dd")&amp;"#"&amp;$M264)</f>
        <v/>
      </c>
    </row>
    <row r="265">
      <c r="A265" s="8" t="n"/>
      <c r="B265" s="9">
        <f>IF($A265="","",TEXT($A265,"ddd"))</f>
        <v/>
      </c>
      <c r="C265" s="4" t="n"/>
      <c r="D265" s="4" t="n"/>
      <c r="E265" s="4" t="n"/>
      <c r="F265" s="4" t="n"/>
      <c r="G265" s="6" t="n"/>
      <c r="H265" s="11">
        <f>IF($C265="","",IF($C265="Equipment",IFERROR(VLOOKUP($E265,EquipRates,IF(AND($F265&lt;&gt;"",$F265&lt;1),3,2),FALSE),0),IFERROR(VLOOKUP($C265,Trucks,2,FALSE),"")))</f>
        <v/>
      </c>
      <c r="I265" s="11">
        <f>IF($C265="","",CEILING(IF($H265&lt;&gt;"",$H265,IF($G265="",0,$G265))*IF($F265="",1,$F265),RoundInc))</f>
        <v/>
      </c>
      <c r="J265" s="4" t="n"/>
      <c r="K265" s="9">
        <f>IF($C265="","",IF(OR($C265="Truck stock",$C265="Purchase",$C265="Tech expense",$C265="Other"),"Yes","No"))</f>
        <v/>
      </c>
      <c r="L265" s="4" t="n"/>
      <c r="M265" s="9">
        <f>IF($A265="","",COUNTIF($A$2:$A265,$A265))</f>
        <v/>
      </c>
      <c r="N265" s="9">
        <f>IF($A265="","",TEXT($A265,"yyyy-mm-dd")&amp;"#"&amp;$M265)</f>
        <v/>
      </c>
    </row>
    <row r="266">
      <c r="A266" s="8" t="n"/>
      <c r="B266" s="9">
        <f>IF($A266="","",TEXT($A266,"ddd"))</f>
        <v/>
      </c>
      <c r="C266" s="4" t="n"/>
      <c r="D266" s="4" t="n"/>
      <c r="E266" s="4" t="n"/>
      <c r="F266" s="4" t="n"/>
      <c r="G266" s="6" t="n"/>
      <c r="H266" s="11">
        <f>IF($C266="","",IF($C266="Equipment",IFERROR(VLOOKUP($E266,EquipRates,IF(AND($F266&lt;&gt;"",$F266&lt;1),3,2),FALSE),0),IFERROR(VLOOKUP($C266,Trucks,2,FALSE),"")))</f>
        <v/>
      </c>
      <c r="I266" s="11">
        <f>IF($C266="","",CEILING(IF($H266&lt;&gt;"",$H266,IF($G266="",0,$G266))*IF($F266="",1,$F266),RoundInc))</f>
        <v/>
      </c>
      <c r="J266" s="4" t="n"/>
      <c r="K266" s="9">
        <f>IF($C266="","",IF(OR($C266="Truck stock",$C266="Purchase",$C266="Tech expense",$C266="Other"),"Yes","No"))</f>
        <v/>
      </c>
      <c r="L266" s="4" t="n"/>
      <c r="M266" s="9">
        <f>IF($A266="","",COUNTIF($A$2:$A266,$A266))</f>
        <v/>
      </c>
      <c r="N266" s="9">
        <f>IF($A266="","",TEXT($A266,"yyyy-mm-dd")&amp;"#"&amp;$M266)</f>
        <v/>
      </c>
    </row>
    <row r="267">
      <c r="A267" s="8" t="n"/>
      <c r="B267" s="9">
        <f>IF($A267="","",TEXT($A267,"ddd"))</f>
        <v/>
      </c>
      <c r="C267" s="4" t="n"/>
      <c r="D267" s="4" t="n"/>
      <c r="E267" s="4" t="n"/>
      <c r="F267" s="4" t="n"/>
      <c r="G267" s="6" t="n"/>
      <c r="H267" s="11">
        <f>IF($C267="","",IF($C267="Equipment",IFERROR(VLOOKUP($E267,EquipRates,IF(AND($F267&lt;&gt;"",$F267&lt;1),3,2),FALSE),0),IFERROR(VLOOKUP($C267,Trucks,2,FALSE),"")))</f>
        <v/>
      </c>
      <c r="I267" s="11">
        <f>IF($C267="","",CEILING(IF($H267&lt;&gt;"",$H267,IF($G267="",0,$G267))*IF($F267="",1,$F267),RoundInc))</f>
        <v/>
      </c>
      <c r="J267" s="4" t="n"/>
      <c r="K267" s="9">
        <f>IF($C267="","",IF(OR($C267="Truck stock",$C267="Purchase",$C267="Tech expense",$C267="Other"),"Yes","No"))</f>
        <v/>
      </c>
      <c r="L267" s="4" t="n"/>
      <c r="M267" s="9">
        <f>IF($A267="","",COUNTIF($A$2:$A267,$A267))</f>
        <v/>
      </c>
      <c r="N267" s="9">
        <f>IF($A267="","",TEXT($A267,"yyyy-mm-dd")&amp;"#"&amp;$M267)</f>
        <v/>
      </c>
    </row>
    <row r="268">
      <c r="A268" s="8" t="n"/>
      <c r="B268" s="9">
        <f>IF($A268="","",TEXT($A268,"ddd"))</f>
        <v/>
      </c>
      <c r="C268" s="4" t="n"/>
      <c r="D268" s="4" t="n"/>
      <c r="E268" s="4" t="n"/>
      <c r="F268" s="4" t="n"/>
      <c r="G268" s="6" t="n"/>
      <c r="H268" s="11">
        <f>IF($C268="","",IF($C268="Equipment",IFERROR(VLOOKUP($E268,EquipRates,IF(AND($F268&lt;&gt;"",$F268&lt;1),3,2),FALSE),0),IFERROR(VLOOKUP($C268,Trucks,2,FALSE),"")))</f>
        <v/>
      </c>
      <c r="I268" s="11">
        <f>IF($C268="","",CEILING(IF($H268&lt;&gt;"",$H268,IF($G268="",0,$G268))*IF($F268="",1,$F268),RoundInc))</f>
        <v/>
      </c>
      <c r="J268" s="4" t="n"/>
      <c r="K268" s="9">
        <f>IF($C268="","",IF(OR($C268="Truck stock",$C268="Purchase",$C268="Tech expense",$C268="Other"),"Yes","No"))</f>
        <v/>
      </c>
      <c r="L268" s="4" t="n"/>
      <c r="M268" s="9">
        <f>IF($A268="","",COUNTIF($A$2:$A268,$A268))</f>
        <v/>
      </c>
      <c r="N268" s="9">
        <f>IF($A268="","",TEXT($A268,"yyyy-mm-dd")&amp;"#"&amp;$M268)</f>
        <v/>
      </c>
    </row>
    <row r="269">
      <c r="A269" s="8" t="n"/>
      <c r="B269" s="9">
        <f>IF($A269="","",TEXT($A269,"ddd"))</f>
        <v/>
      </c>
      <c r="C269" s="4" t="n"/>
      <c r="D269" s="4" t="n"/>
      <c r="E269" s="4" t="n"/>
      <c r="F269" s="4" t="n"/>
      <c r="G269" s="6" t="n"/>
      <c r="H269" s="11">
        <f>IF($C269="","",IF($C269="Equipment",IFERROR(VLOOKUP($E269,EquipRates,IF(AND($F269&lt;&gt;"",$F269&lt;1),3,2),FALSE),0),IFERROR(VLOOKUP($C269,Trucks,2,FALSE),"")))</f>
        <v/>
      </c>
      <c r="I269" s="11">
        <f>IF($C269="","",CEILING(IF($H269&lt;&gt;"",$H269,IF($G269="",0,$G269))*IF($F269="",1,$F269),RoundInc))</f>
        <v/>
      </c>
      <c r="J269" s="4" t="n"/>
      <c r="K269" s="9">
        <f>IF($C269="","",IF(OR($C269="Truck stock",$C269="Purchase",$C269="Tech expense",$C269="Other"),"Yes","No"))</f>
        <v/>
      </c>
      <c r="L269" s="4" t="n"/>
      <c r="M269" s="9">
        <f>IF($A269="","",COUNTIF($A$2:$A269,$A269))</f>
        <v/>
      </c>
      <c r="N269" s="9">
        <f>IF($A269="","",TEXT($A269,"yyyy-mm-dd")&amp;"#"&amp;$M269)</f>
        <v/>
      </c>
    </row>
    <row r="270">
      <c r="A270" s="8" t="n"/>
      <c r="B270" s="9">
        <f>IF($A270="","",TEXT($A270,"ddd"))</f>
        <v/>
      </c>
      <c r="C270" s="4" t="n"/>
      <c r="D270" s="4" t="n"/>
      <c r="E270" s="4" t="n"/>
      <c r="F270" s="4" t="n"/>
      <c r="G270" s="6" t="n"/>
      <c r="H270" s="11">
        <f>IF($C270="","",IF($C270="Equipment",IFERROR(VLOOKUP($E270,EquipRates,IF(AND($F270&lt;&gt;"",$F270&lt;1),3,2),FALSE),0),IFERROR(VLOOKUP($C270,Trucks,2,FALSE),"")))</f>
        <v/>
      </c>
      <c r="I270" s="11">
        <f>IF($C270="","",CEILING(IF($H270&lt;&gt;"",$H270,IF($G270="",0,$G270))*IF($F270="",1,$F270),RoundInc))</f>
        <v/>
      </c>
      <c r="J270" s="4" t="n"/>
      <c r="K270" s="9">
        <f>IF($C270="","",IF(OR($C270="Truck stock",$C270="Purchase",$C270="Tech expense",$C270="Other"),"Yes","No"))</f>
        <v/>
      </c>
      <c r="L270" s="4" t="n"/>
      <c r="M270" s="9">
        <f>IF($A270="","",COUNTIF($A$2:$A270,$A270))</f>
        <v/>
      </c>
      <c r="N270" s="9">
        <f>IF($A270="","",TEXT($A270,"yyyy-mm-dd")&amp;"#"&amp;$M270)</f>
        <v/>
      </c>
    </row>
    <row r="271">
      <c r="A271" s="8" t="n"/>
      <c r="B271" s="9">
        <f>IF($A271="","",TEXT($A271,"ddd"))</f>
        <v/>
      </c>
      <c r="C271" s="4" t="n"/>
      <c r="D271" s="4" t="n"/>
      <c r="E271" s="4" t="n"/>
      <c r="F271" s="4" t="n"/>
      <c r="G271" s="6" t="n"/>
      <c r="H271" s="11">
        <f>IF($C271="","",IF($C271="Equipment",IFERROR(VLOOKUP($E271,EquipRates,IF(AND($F271&lt;&gt;"",$F271&lt;1),3,2),FALSE),0),IFERROR(VLOOKUP($C271,Trucks,2,FALSE),"")))</f>
        <v/>
      </c>
      <c r="I271" s="11">
        <f>IF($C271="","",CEILING(IF($H271&lt;&gt;"",$H271,IF($G271="",0,$G271))*IF($F271="",1,$F271),RoundInc))</f>
        <v/>
      </c>
      <c r="J271" s="4" t="n"/>
      <c r="K271" s="9">
        <f>IF($C271="","",IF(OR($C271="Truck stock",$C271="Purchase",$C271="Tech expense",$C271="Other"),"Yes","No"))</f>
        <v/>
      </c>
      <c r="L271" s="4" t="n"/>
      <c r="M271" s="9">
        <f>IF($A271="","",COUNTIF($A$2:$A271,$A271))</f>
        <v/>
      </c>
      <c r="N271" s="9">
        <f>IF($A271="","",TEXT($A271,"yyyy-mm-dd")&amp;"#"&amp;$M271)</f>
        <v/>
      </c>
    </row>
    <row r="272">
      <c r="A272" s="8" t="n"/>
      <c r="B272" s="9">
        <f>IF($A272="","",TEXT($A272,"ddd"))</f>
        <v/>
      </c>
      <c r="C272" s="4" t="n"/>
      <c r="D272" s="4" t="n"/>
      <c r="E272" s="4" t="n"/>
      <c r="F272" s="4" t="n"/>
      <c r="G272" s="6" t="n"/>
      <c r="H272" s="11">
        <f>IF($C272="","",IF($C272="Equipment",IFERROR(VLOOKUP($E272,EquipRates,IF(AND($F272&lt;&gt;"",$F272&lt;1),3,2),FALSE),0),IFERROR(VLOOKUP($C272,Trucks,2,FALSE),"")))</f>
        <v/>
      </c>
      <c r="I272" s="11">
        <f>IF($C272="","",CEILING(IF($H272&lt;&gt;"",$H272,IF($G272="",0,$G272))*IF($F272="",1,$F272),RoundInc))</f>
        <v/>
      </c>
      <c r="J272" s="4" t="n"/>
      <c r="K272" s="9">
        <f>IF($C272="","",IF(OR($C272="Truck stock",$C272="Purchase",$C272="Tech expense",$C272="Other"),"Yes","No"))</f>
        <v/>
      </c>
      <c r="L272" s="4" t="n"/>
      <c r="M272" s="9">
        <f>IF($A272="","",COUNTIF($A$2:$A272,$A272))</f>
        <v/>
      </c>
      <c r="N272" s="9">
        <f>IF($A272="","",TEXT($A272,"yyyy-mm-dd")&amp;"#"&amp;$M272)</f>
        <v/>
      </c>
    </row>
    <row r="273">
      <c r="A273" s="8" t="n"/>
      <c r="B273" s="9">
        <f>IF($A273="","",TEXT($A273,"ddd"))</f>
        <v/>
      </c>
      <c r="C273" s="4" t="n"/>
      <c r="D273" s="4" t="n"/>
      <c r="E273" s="4" t="n"/>
      <c r="F273" s="4" t="n"/>
      <c r="G273" s="6" t="n"/>
      <c r="H273" s="11">
        <f>IF($C273="","",IF($C273="Equipment",IFERROR(VLOOKUP($E273,EquipRates,IF(AND($F273&lt;&gt;"",$F273&lt;1),3,2),FALSE),0),IFERROR(VLOOKUP($C273,Trucks,2,FALSE),"")))</f>
        <v/>
      </c>
      <c r="I273" s="11">
        <f>IF($C273="","",CEILING(IF($H273&lt;&gt;"",$H273,IF($G273="",0,$G273))*IF($F273="",1,$F273),RoundInc))</f>
        <v/>
      </c>
      <c r="J273" s="4" t="n"/>
      <c r="K273" s="9">
        <f>IF($C273="","",IF(OR($C273="Truck stock",$C273="Purchase",$C273="Tech expense",$C273="Other"),"Yes","No"))</f>
        <v/>
      </c>
      <c r="L273" s="4" t="n"/>
      <c r="M273" s="9">
        <f>IF($A273="","",COUNTIF($A$2:$A273,$A273))</f>
        <v/>
      </c>
      <c r="N273" s="9">
        <f>IF($A273="","",TEXT($A273,"yyyy-mm-dd")&amp;"#"&amp;$M273)</f>
        <v/>
      </c>
    </row>
    <row r="274">
      <c r="A274" s="8" t="n"/>
      <c r="B274" s="9">
        <f>IF($A274="","",TEXT($A274,"ddd"))</f>
        <v/>
      </c>
      <c r="C274" s="4" t="n"/>
      <c r="D274" s="4" t="n"/>
      <c r="E274" s="4" t="n"/>
      <c r="F274" s="4" t="n"/>
      <c r="G274" s="6" t="n"/>
      <c r="H274" s="11">
        <f>IF($C274="","",IF($C274="Equipment",IFERROR(VLOOKUP($E274,EquipRates,IF(AND($F274&lt;&gt;"",$F274&lt;1),3,2),FALSE),0),IFERROR(VLOOKUP($C274,Trucks,2,FALSE),"")))</f>
        <v/>
      </c>
      <c r="I274" s="11">
        <f>IF($C274="","",CEILING(IF($H274&lt;&gt;"",$H274,IF($G274="",0,$G274))*IF($F274="",1,$F274),RoundInc))</f>
        <v/>
      </c>
      <c r="J274" s="4" t="n"/>
      <c r="K274" s="9">
        <f>IF($C274="","",IF(OR($C274="Truck stock",$C274="Purchase",$C274="Tech expense",$C274="Other"),"Yes","No"))</f>
        <v/>
      </c>
      <c r="L274" s="4" t="n"/>
      <c r="M274" s="9">
        <f>IF($A274="","",COUNTIF($A$2:$A274,$A274))</f>
        <v/>
      </c>
      <c r="N274" s="9">
        <f>IF($A274="","",TEXT($A274,"yyyy-mm-dd")&amp;"#"&amp;$M274)</f>
        <v/>
      </c>
    </row>
    <row r="275">
      <c r="A275" s="8" t="n"/>
      <c r="B275" s="9">
        <f>IF($A275="","",TEXT($A275,"ddd"))</f>
        <v/>
      </c>
      <c r="C275" s="4" t="n"/>
      <c r="D275" s="4" t="n"/>
      <c r="E275" s="4" t="n"/>
      <c r="F275" s="4" t="n"/>
      <c r="G275" s="6" t="n"/>
      <c r="H275" s="11">
        <f>IF($C275="","",IF($C275="Equipment",IFERROR(VLOOKUP($E275,EquipRates,IF(AND($F275&lt;&gt;"",$F275&lt;1),3,2),FALSE),0),IFERROR(VLOOKUP($C275,Trucks,2,FALSE),"")))</f>
        <v/>
      </c>
      <c r="I275" s="11">
        <f>IF($C275="","",CEILING(IF($H275&lt;&gt;"",$H275,IF($G275="",0,$G275))*IF($F275="",1,$F275),RoundInc))</f>
        <v/>
      </c>
      <c r="J275" s="4" t="n"/>
      <c r="K275" s="9">
        <f>IF($C275="","",IF(OR($C275="Truck stock",$C275="Purchase",$C275="Tech expense",$C275="Other"),"Yes","No"))</f>
        <v/>
      </c>
      <c r="L275" s="4" t="n"/>
      <c r="M275" s="9">
        <f>IF($A275="","",COUNTIF($A$2:$A275,$A275))</f>
        <v/>
      </c>
      <c r="N275" s="9">
        <f>IF($A275="","",TEXT($A275,"yyyy-mm-dd")&amp;"#"&amp;$M275)</f>
        <v/>
      </c>
    </row>
    <row r="276">
      <c r="A276" s="8" t="n"/>
      <c r="B276" s="9">
        <f>IF($A276="","",TEXT($A276,"ddd"))</f>
        <v/>
      </c>
      <c r="C276" s="4" t="n"/>
      <c r="D276" s="4" t="n"/>
      <c r="E276" s="4" t="n"/>
      <c r="F276" s="4" t="n"/>
      <c r="G276" s="6" t="n"/>
      <c r="H276" s="11">
        <f>IF($C276="","",IF($C276="Equipment",IFERROR(VLOOKUP($E276,EquipRates,IF(AND($F276&lt;&gt;"",$F276&lt;1),3,2),FALSE),0),IFERROR(VLOOKUP($C276,Trucks,2,FALSE),"")))</f>
        <v/>
      </c>
      <c r="I276" s="11">
        <f>IF($C276="","",CEILING(IF($H276&lt;&gt;"",$H276,IF($G276="",0,$G276))*IF($F276="",1,$F276),RoundInc))</f>
        <v/>
      </c>
      <c r="J276" s="4" t="n"/>
      <c r="K276" s="9">
        <f>IF($C276="","",IF(OR($C276="Truck stock",$C276="Purchase",$C276="Tech expense",$C276="Other"),"Yes","No"))</f>
        <v/>
      </c>
      <c r="L276" s="4" t="n"/>
      <c r="M276" s="9">
        <f>IF($A276="","",COUNTIF($A$2:$A276,$A276))</f>
        <v/>
      </c>
      <c r="N276" s="9">
        <f>IF($A276="","",TEXT($A276,"yyyy-mm-dd")&amp;"#"&amp;$M276)</f>
        <v/>
      </c>
    </row>
    <row r="277">
      <c r="A277" s="8" t="n"/>
      <c r="B277" s="9">
        <f>IF($A277="","",TEXT($A277,"ddd"))</f>
        <v/>
      </c>
      <c r="C277" s="4" t="n"/>
      <c r="D277" s="4" t="n"/>
      <c r="E277" s="4" t="n"/>
      <c r="F277" s="4" t="n"/>
      <c r="G277" s="6" t="n"/>
      <c r="H277" s="11">
        <f>IF($C277="","",IF($C277="Equipment",IFERROR(VLOOKUP($E277,EquipRates,IF(AND($F277&lt;&gt;"",$F277&lt;1),3,2),FALSE),0),IFERROR(VLOOKUP($C277,Trucks,2,FALSE),"")))</f>
        <v/>
      </c>
      <c r="I277" s="11">
        <f>IF($C277="","",CEILING(IF($H277&lt;&gt;"",$H277,IF($G277="",0,$G277))*IF($F277="",1,$F277),RoundInc))</f>
        <v/>
      </c>
      <c r="J277" s="4" t="n"/>
      <c r="K277" s="9">
        <f>IF($C277="","",IF(OR($C277="Truck stock",$C277="Purchase",$C277="Tech expense",$C277="Other"),"Yes","No"))</f>
        <v/>
      </c>
      <c r="L277" s="4" t="n"/>
      <c r="M277" s="9">
        <f>IF($A277="","",COUNTIF($A$2:$A277,$A277))</f>
        <v/>
      </c>
      <c r="N277" s="9">
        <f>IF($A277="","",TEXT($A277,"yyyy-mm-dd")&amp;"#"&amp;$M277)</f>
        <v/>
      </c>
    </row>
    <row r="278">
      <c r="A278" s="8" t="n"/>
      <c r="B278" s="9">
        <f>IF($A278="","",TEXT($A278,"ddd"))</f>
        <v/>
      </c>
      <c r="C278" s="4" t="n"/>
      <c r="D278" s="4" t="n"/>
      <c r="E278" s="4" t="n"/>
      <c r="F278" s="4" t="n"/>
      <c r="G278" s="6" t="n"/>
      <c r="H278" s="11">
        <f>IF($C278="","",IF($C278="Equipment",IFERROR(VLOOKUP($E278,EquipRates,IF(AND($F278&lt;&gt;"",$F278&lt;1),3,2),FALSE),0),IFERROR(VLOOKUP($C278,Trucks,2,FALSE),"")))</f>
        <v/>
      </c>
      <c r="I278" s="11">
        <f>IF($C278="","",CEILING(IF($H278&lt;&gt;"",$H278,IF($G278="",0,$G278))*IF($F278="",1,$F278),RoundInc))</f>
        <v/>
      </c>
      <c r="J278" s="4" t="n"/>
      <c r="K278" s="9">
        <f>IF($C278="","",IF(OR($C278="Truck stock",$C278="Purchase",$C278="Tech expense",$C278="Other"),"Yes","No"))</f>
        <v/>
      </c>
      <c r="L278" s="4" t="n"/>
      <c r="M278" s="9">
        <f>IF($A278="","",COUNTIF($A$2:$A278,$A278))</f>
        <v/>
      </c>
      <c r="N278" s="9">
        <f>IF($A278="","",TEXT($A278,"yyyy-mm-dd")&amp;"#"&amp;$M278)</f>
        <v/>
      </c>
    </row>
    <row r="279">
      <c r="A279" s="8" t="n"/>
      <c r="B279" s="9">
        <f>IF($A279="","",TEXT($A279,"ddd"))</f>
        <v/>
      </c>
      <c r="C279" s="4" t="n"/>
      <c r="D279" s="4" t="n"/>
      <c r="E279" s="4" t="n"/>
      <c r="F279" s="4" t="n"/>
      <c r="G279" s="6" t="n"/>
      <c r="H279" s="11">
        <f>IF($C279="","",IF($C279="Equipment",IFERROR(VLOOKUP($E279,EquipRates,IF(AND($F279&lt;&gt;"",$F279&lt;1),3,2),FALSE),0),IFERROR(VLOOKUP($C279,Trucks,2,FALSE),"")))</f>
        <v/>
      </c>
      <c r="I279" s="11">
        <f>IF($C279="","",CEILING(IF($H279&lt;&gt;"",$H279,IF($G279="",0,$G279))*IF($F279="",1,$F279),RoundInc))</f>
        <v/>
      </c>
      <c r="J279" s="4" t="n"/>
      <c r="K279" s="9">
        <f>IF($C279="","",IF(OR($C279="Truck stock",$C279="Purchase",$C279="Tech expense",$C279="Other"),"Yes","No"))</f>
        <v/>
      </c>
      <c r="L279" s="4" t="n"/>
      <c r="M279" s="9">
        <f>IF($A279="","",COUNTIF($A$2:$A279,$A279))</f>
        <v/>
      </c>
      <c r="N279" s="9">
        <f>IF($A279="","",TEXT($A279,"yyyy-mm-dd")&amp;"#"&amp;$M279)</f>
        <v/>
      </c>
    </row>
    <row r="280">
      <c r="A280" s="8" t="n"/>
      <c r="B280" s="9">
        <f>IF($A280="","",TEXT($A280,"ddd"))</f>
        <v/>
      </c>
      <c r="C280" s="4" t="n"/>
      <c r="D280" s="4" t="n"/>
      <c r="E280" s="4" t="n"/>
      <c r="F280" s="4" t="n"/>
      <c r="G280" s="6" t="n"/>
      <c r="H280" s="11">
        <f>IF($C280="","",IF($C280="Equipment",IFERROR(VLOOKUP($E280,EquipRates,IF(AND($F280&lt;&gt;"",$F280&lt;1),3,2),FALSE),0),IFERROR(VLOOKUP($C280,Trucks,2,FALSE),"")))</f>
        <v/>
      </c>
      <c r="I280" s="11">
        <f>IF($C280="","",CEILING(IF($H280&lt;&gt;"",$H280,IF($G280="",0,$G280))*IF($F280="",1,$F280),RoundInc))</f>
        <v/>
      </c>
      <c r="J280" s="4" t="n"/>
      <c r="K280" s="9">
        <f>IF($C280="","",IF(OR($C280="Truck stock",$C280="Purchase",$C280="Tech expense",$C280="Other"),"Yes","No"))</f>
        <v/>
      </c>
      <c r="L280" s="4" t="n"/>
      <c r="M280" s="9">
        <f>IF($A280="","",COUNTIF($A$2:$A280,$A280))</f>
        <v/>
      </c>
      <c r="N280" s="9">
        <f>IF($A280="","",TEXT($A280,"yyyy-mm-dd")&amp;"#"&amp;$M280)</f>
        <v/>
      </c>
    </row>
    <row r="281">
      <c r="A281" s="8" t="n"/>
      <c r="B281" s="9">
        <f>IF($A281="","",TEXT($A281,"ddd"))</f>
        <v/>
      </c>
      <c r="C281" s="4" t="n"/>
      <c r="D281" s="4" t="n"/>
      <c r="E281" s="4" t="n"/>
      <c r="F281" s="4" t="n"/>
      <c r="G281" s="6" t="n"/>
      <c r="H281" s="11">
        <f>IF($C281="","",IF($C281="Equipment",IFERROR(VLOOKUP($E281,EquipRates,IF(AND($F281&lt;&gt;"",$F281&lt;1),3,2),FALSE),0),IFERROR(VLOOKUP($C281,Trucks,2,FALSE),"")))</f>
        <v/>
      </c>
      <c r="I281" s="11">
        <f>IF($C281="","",CEILING(IF($H281&lt;&gt;"",$H281,IF($G281="",0,$G281))*IF($F281="",1,$F281),RoundInc))</f>
        <v/>
      </c>
      <c r="J281" s="4" t="n"/>
      <c r="K281" s="9">
        <f>IF($C281="","",IF(OR($C281="Truck stock",$C281="Purchase",$C281="Tech expense",$C281="Other"),"Yes","No"))</f>
        <v/>
      </c>
      <c r="L281" s="4" t="n"/>
      <c r="M281" s="9">
        <f>IF($A281="","",COUNTIF($A$2:$A281,$A281))</f>
        <v/>
      </c>
      <c r="N281" s="9">
        <f>IF($A281="","",TEXT($A281,"yyyy-mm-dd")&amp;"#"&amp;$M281)</f>
        <v/>
      </c>
    </row>
    <row r="282">
      <c r="A282" s="8" t="n"/>
      <c r="B282" s="9">
        <f>IF($A282="","",TEXT($A282,"ddd"))</f>
        <v/>
      </c>
      <c r="C282" s="4" t="n"/>
      <c r="D282" s="4" t="n"/>
      <c r="E282" s="4" t="n"/>
      <c r="F282" s="4" t="n"/>
      <c r="G282" s="6" t="n"/>
      <c r="H282" s="11">
        <f>IF($C282="","",IF($C282="Equipment",IFERROR(VLOOKUP($E282,EquipRates,IF(AND($F282&lt;&gt;"",$F282&lt;1),3,2),FALSE),0),IFERROR(VLOOKUP($C282,Trucks,2,FALSE),"")))</f>
        <v/>
      </c>
      <c r="I282" s="11">
        <f>IF($C282="","",CEILING(IF($H282&lt;&gt;"",$H282,IF($G282="",0,$G282))*IF($F282="",1,$F282),RoundInc))</f>
        <v/>
      </c>
      <c r="J282" s="4" t="n"/>
      <c r="K282" s="9">
        <f>IF($C282="","",IF(OR($C282="Truck stock",$C282="Purchase",$C282="Tech expense",$C282="Other"),"Yes","No"))</f>
        <v/>
      </c>
      <c r="L282" s="4" t="n"/>
      <c r="M282" s="9">
        <f>IF($A282="","",COUNTIF($A$2:$A282,$A282))</f>
        <v/>
      </c>
      <c r="N282" s="9">
        <f>IF($A282="","",TEXT($A282,"yyyy-mm-dd")&amp;"#"&amp;$M282)</f>
        <v/>
      </c>
    </row>
    <row r="283">
      <c r="A283" s="8" t="n"/>
      <c r="B283" s="9">
        <f>IF($A283="","",TEXT($A283,"ddd"))</f>
        <v/>
      </c>
      <c r="C283" s="4" t="n"/>
      <c r="D283" s="4" t="n"/>
      <c r="E283" s="4" t="n"/>
      <c r="F283" s="4" t="n"/>
      <c r="G283" s="6" t="n"/>
      <c r="H283" s="11">
        <f>IF($C283="","",IF($C283="Equipment",IFERROR(VLOOKUP($E283,EquipRates,IF(AND($F283&lt;&gt;"",$F283&lt;1),3,2),FALSE),0),IFERROR(VLOOKUP($C283,Trucks,2,FALSE),"")))</f>
        <v/>
      </c>
      <c r="I283" s="11">
        <f>IF($C283="","",CEILING(IF($H283&lt;&gt;"",$H283,IF($G283="",0,$G283))*IF($F283="",1,$F283),RoundInc))</f>
        <v/>
      </c>
      <c r="J283" s="4" t="n"/>
      <c r="K283" s="9">
        <f>IF($C283="","",IF(OR($C283="Truck stock",$C283="Purchase",$C283="Tech expense",$C283="Other"),"Yes","No"))</f>
        <v/>
      </c>
      <c r="L283" s="4" t="n"/>
      <c r="M283" s="9">
        <f>IF($A283="","",COUNTIF($A$2:$A283,$A283))</f>
        <v/>
      </c>
      <c r="N283" s="9">
        <f>IF($A283="","",TEXT($A283,"yyyy-mm-dd")&amp;"#"&amp;$M283)</f>
        <v/>
      </c>
    </row>
    <row r="284">
      <c r="A284" s="8" t="n"/>
      <c r="B284" s="9">
        <f>IF($A284="","",TEXT($A284,"ddd"))</f>
        <v/>
      </c>
      <c r="C284" s="4" t="n"/>
      <c r="D284" s="4" t="n"/>
      <c r="E284" s="4" t="n"/>
      <c r="F284" s="4" t="n"/>
      <c r="G284" s="6" t="n"/>
      <c r="H284" s="11">
        <f>IF($C284="","",IF($C284="Equipment",IFERROR(VLOOKUP($E284,EquipRates,IF(AND($F284&lt;&gt;"",$F284&lt;1),3,2),FALSE),0),IFERROR(VLOOKUP($C284,Trucks,2,FALSE),"")))</f>
        <v/>
      </c>
      <c r="I284" s="11">
        <f>IF($C284="","",CEILING(IF($H284&lt;&gt;"",$H284,IF($G284="",0,$G284))*IF($F284="",1,$F284),RoundInc))</f>
        <v/>
      </c>
      <c r="J284" s="4" t="n"/>
      <c r="K284" s="9">
        <f>IF($C284="","",IF(OR($C284="Truck stock",$C284="Purchase",$C284="Tech expense",$C284="Other"),"Yes","No"))</f>
        <v/>
      </c>
      <c r="L284" s="4" t="n"/>
      <c r="M284" s="9">
        <f>IF($A284="","",COUNTIF($A$2:$A284,$A284))</f>
        <v/>
      </c>
      <c r="N284" s="9">
        <f>IF($A284="","",TEXT($A284,"yyyy-mm-dd")&amp;"#"&amp;$M284)</f>
        <v/>
      </c>
    </row>
    <row r="285">
      <c r="A285" s="8" t="n"/>
      <c r="B285" s="9">
        <f>IF($A285="","",TEXT($A285,"ddd"))</f>
        <v/>
      </c>
      <c r="C285" s="4" t="n"/>
      <c r="D285" s="4" t="n"/>
      <c r="E285" s="4" t="n"/>
      <c r="F285" s="4" t="n"/>
      <c r="G285" s="6" t="n"/>
      <c r="H285" s="11">
        <f>IF($C285="","",IF($C285="Equipment",IFERROR(VLOOKUP($E285,EquipRates,IF(AND($F285&lt;&gt;"",$F285&lt;1),3,2),FALSE),0),IFERROR(VLOOKUP($C285,Trucks,2,FALSE),"")))</f>
        <v/>
      </c>
      <c r="I285" s="11">
        <f>IF($C285="","",CEILING(IF($H285&lt;&gt;"",$H285,IF($G285="",0,$G285))*IF($F285="",1,$F285),RoundInc))</f>
        <v/>
      </c>
      <c r="J285" s="4" t="n"/>
      <c r="K285" s="9">
        <f>IF($C285="","",IF(OR($C285="Truck stock",$C285="Purchase",$C285="Tech expense",$C285="Other"),"Yes","No"))</f>
        <v/>
      </c>
      <c r="L285" s="4" t="n"/>
      <c r="M285" s="9">
        <f>IF($A285="","",COUNTIF($A$2:$A285,$A285))</f>
        <v/>
      </c>
      <c r="N285" s="9">
        <f>IF($A285="","",TEXT($A285,"yyyy-mm-dd")&amp;"#"&amp;$M285)</f>
        <v/>
      </c>
    </row>
    <row r="286">
      <c r="A286" s="8" t="n"/>
      <c r="B286" s="9">
        <f>IF($A286="","",TEXT($A286,"ddd"))</f>
        <v/>
      </c>
      <c r="C286" s="4" t="n"/>
      <c r="D286" s="4" t="n"/>
      <c r="E286" s="4" t="n"/>
      <c r="F286" s="4" t="n"/>
      <c r="G286" s="6" t="n"/>
      <c r="H286" s="11">
        <f>IF($C286="","",IF($C286="Equipment",IFERROR(VLOOKUP($E286,EquipRates,IF(AND($F286&lt;&gt;"",$F286&lt;1),3,2),FALSE),0),IFERROR(VLOOKUP($C286,Trucks,2,FALSE),"")))</f>
        <v/>
      </c>
      <c r="I286" s="11">
        <f>IF($C286="","",CEILING(IF($H286&lt;&gt;"",$H286,IF($G286="",0,$G286))*IF($F286="",1,$F286),RoundInc))</f>
        <v/>
      </c>
      <c r="J286" s="4" t="n"/>
      <c r="K286" s="9">
        <f>IF($C286="","",IF(OR($C286="Truck stock",$C286="Purchase",$C286="Tech expense",$C286="Other"),"Yes","No"))</f>
        <v/>
      </c>
      <c r="L286" s="4" t="n"/>
      <c r="M286" s="9">
        <f>IF($A286="","",COUNTIF($A$2:$A286,$A286))</f>
        <v/>
      </c>
      <c r="N286" s="9">
        <f>IF($A286="","",TEXT($A286,"yyyy-mm-dd")&amp;"#"&amp;$M286)</f>
        <v/>
      </c>
    </row>
    <row r="287">
      <c r="A287" s="8" t="n"/>
      <c r="B287" s="9">
        <f>IF($A287="","",TEXT($A287,"ddd"))</f>
        <v/>
      </c>
      <c r="C287" s="4" t="n"/>
      <c r="D287" s="4" t="n"/>
      <c r="E287" s="4" t="n"/>
      <c r="F287" s="4" t="n"/>
      <c r="G287" s="6" t="n"/>
      <c r="H287" s="11">
        <f>IF($C287="","",IF($C287="Equipment",IFERROR(VLOOKUP($E287,EquipRates,IF(AND($F287&lt;&gt;"",$F287&lt;1),3,2),FALSE),0),IFERROR(VLOOKUP($C287,Trucks,2,FALSE),"")))</f>
        <v/>
      </c>
      <c r="I287" s="11">
        <f>IF($C287="","",CEILING(IF($H287&lt;&gt;"",$H287,IF($G287="",0,$G287))*IF($F287="",1,$F287),RoundInc))</f>
        <v/>
      </c>
      <c r="J287" s="4" t="n"/>
      <c r="K287" s="9">
        <f>IF($C287="","",IF(OR($C287="Truck stock",$C287="Purchase",$C287="Tech expense",$C287="Other"),"Yes","No"))</f>
        <v/>
      </c>
      <c r="L287" s="4" t="n"/>
      <c r="M287" s="9">
        <f>IF($A287="","",COUNTIF($A$2:$A287,$A287))</f>
        <v/>
      </c>
      <c r="N287" s="9">
        <f>IF($A287="","",TEXT($A287,"yyyy-mm-dd")&amp;"#"&amp;$M287)</f>
        <v/>
      </c>
    </row>
    <row r="288">
      <c r="A288" s="8" t="n"/>
      <c r="B288" s="9">
        <f>IF($A288="","",TEXT($A288,"ddd"))</f>
        <v/>
      </c>
      <c r="C288" s="4" t="n"/>
      <c r="D288" s="4" t="n"/>
      <c r="E288" s="4" t="n"/>
      <c r="F288" s="4" t="n"/>
      <c r="G288" s="6" t="n"/>
      <c r="H288" s="11">
        <f>IF($C288="","",IF($C288="Equipment",IFERROR(VLOOKUP($E288,EquipRates,IF(AND($F288&lt;&gt;"",$F288&lt;1),3,2),FALSE),0),IFERROR(VLOOKUP($C288,Trucks,2,FALSE),"")))</f>
        <v/>
      </c>
      <c r="I288" s="11">
        <f>IF($C288="","",CEILING(IF($H288&lt;&gt;"",$H288,IF($G288="",0,$G288))*IF($F288="",1,$F288),RoundInc))</f>
        <v/>
      </c>
      <c r="J288" s="4" t="n"/>
      <c r="K288" s="9">
        <f>IF($C288="","",IF(OR($C288="Truck stock",$C288="Purchase",$C288="Tech expense",$C288="Other"),"Yes","No"))</f>
        <v/>
      </c>
      <c r="L288" s="4" t="n"/>
      <c r="M288" s="9">
        <f>IF($A288="","",COUNTIF($A$2:$A288,$A288))</f>
        <v/>
      </c>
      <c r="N288" s="9">
        <f>IF($A288="","",TEXT($A288,"yyyy-mm-dd")&amp;"#"&amp;$M288)</f>
        <v/>
      </c>
    </row>
    <row r="289">
      <c r="A289" s="8" t="n"/>
      <c r="B289" s="9">
        <f>IF($A289="","",TEXT($A289,"ddd"))</f>
        <v/>
      </c>
      <c r="C289" s="4" t="n"/>
      <c r="D289" s="4" t="n"/>
      <c r="E289" s="4" t="n"/>
      <c r="F289" s="4" t="n"/>
      <c r="G289" s="6" t="n"/>
      <c r="H289" s="11">
        <f>IF($C289="","",IF($C289="Equipment",IFERROR(VLOOKUP($E289,EquipRates,IF(AND($F289&lt;&gt;"",$F289&lt;1),3,2),FALSE),0),IFERROR(VLOOKUP($C289,Trucks,2,FALSE),"")))</f>
        <v/>
      </c>
      <c r="I289" s="11">
        <f>IF($C289="","",CEILING(IF($H289&lt;&gt;"",$H289,IF($G289="",0,$G289))*IF($F289="",1,$F289),RoundInc))</f>
        <v/>
      </c>
      <c r="J289" s="4" t="n"/>
      <c r="K289" s="9">
        <f>IF($C289="","",IF(OR($C289="Truck stock",$C289="Purchase",$C289="Tech expense",$C289="Other"),"Yes","No"))</f>
        <v/>
      </c>
      <c r="L289" s="4" t="n"/>
      <c r="M289" s="9">
        <f>IF($A289="","",COUNTIF($A$2:$A289,$A289))</f>
        <v/>
      </c>
      <c r="N289" s="9">
        <f>IF($A289="","",TEXT($A289,"yyyy-mm-dd")&amp;"#"&amp;$M289)</f>
        <v/>
      </c>
    </row>
    <row r="290">
      <c r="A290" s="8" t="n"/>
      <c r="B290" s="9">
        <f>IF($A290="","",TEXT($A290,"ddd"))</f>
        <v/>
      </c>
      <c r="C290" s="4" t="n"/>
      <c r="D290" s="4" t="n"/>
      <c r="E290" s="4" t="n"/>
      <c r="F290" s="4" t="n"/>
      <c r="G290" s="6" t="n"/>
      <c r="H290" s="11">
        <f>IF($C290="","",IF($C290="Equipment",IFERROR(VLOOKUP($E290,EquipRates,IF(AND($F290&lt;&gt;"",$F290&lt;1),3,2),FALSE),0),IFERROR(VLOOKUP($C290,Trucks,2,FALSE),"")))</f>
        <v/>
      </c>
      <c r="I290" s="11">
        <f>IF($C290="","",CEILING(IF($H290&lt;&gt;"",$H290,IF($G290="",0,$G290))*IF($F290="",1,$F290),RoundInc))</f>
        <v/>
      </c>
      <c r="J290" s="4" t="n"/>
      <c r="K290" s="9">
        <f>IF($C290="","",IF(OR($C290="Truck stock",$C290="Purchase",$C290="Tech expense",$C290="Other"),"Yes","No"))</f>
        <v/>
      </c>
      <c r="L290" s="4" t="n"/>
      <c r="M290" s="9">
        <f>IF($A290="","",COUNTIF($A$2:$A290,$A290))</f>
        <v/>
      </c>
      <c r="N290" s="9">
        <f>IF($A290="","",TEXT($A290,"yyyy-mm-dd")&amp;"#"&amp;$M290)</f>
        <v/>
      </c>
    </row>
    <row r="291">
      <c r="A291" s="8" t="n"/>
      <c r="B291" s="9">
        <f>IF($A291="","",TEXT($A291,"ddd"))</f>
        <v/>
      </c>
      <c r="C291" s="4" t="n"/>
      <c r="D291" s="4" t="n"/>
      <c r="E291" s="4" t="n"/>
      <c r="F291" s="4" t="n"/>
      <c r="G291" s="6" t="n"/>
      <c r="H291" s="11">
        <f>IF($C291="","",IF($C291="Equipment",IFERROR(VLOOKUP($E291,EquipRates,IF(AND($F291&lt;&gt;"",$F291&lt;1),3,2),FALSE),0),IFERROR(VLOOKUP($C291,Trucks,2,FALSE),"")))</f>
        <v/>
      </c>
      <c r="I291" s="11">
        <f>IF($C291="","",CEILING(IF($H291&lt;&gt;"",$H291,IF($G291="",0,$G291))*IF($F291="",1,$F291),RoundInc))</f>
        <v/>
      </c>
      <c r="J291" s="4" t="n"/>
      <c r="K291" s="9">
        <f>IF($C291="","",IF(OR($C291="Truck stock",$C291="Purchase",$C291="Tech expense",$C291="Other"),"Yes","No"))</f>
        <v/>
      </c>
      <c r="L291" s="4" t="n"/>
      <c r="M291" s="9">
        <f>IF($A291="","",COUNTIF($A$2:$A291,$A291))</f>
        <v/>
      </c>
      <c r="N291" s="9">
        <f>IF($A291="","",TEXT($A291,"yyyy-mm-dd")&amp;"#"&amp;$M291)</f>
        <v/>
      </c>
    </row>
    <row r="292">
      <c r="A292" s="8" t="n"/>
      <c r="B292" s="9">
        <f>IF($A292="","",TEXT($A292,"ddd"))</f>
        <v/>
      </c>
      <c r="C292" s="4" t="n"/>
      <c r="D292" s="4" t="n"/>
      <c r="E292" s="4" t="n"/>
      <c r="F292" s="4" t="n"/>
      <c r="G292" s="6" t="n"/>
      <c r="H292" s="11">
        <f>IF($C292="","",IF($C292="Equipment",IFERROR(VLOOKUP($E292,EquipRates,IF(AND($F292&lt;&gt;"",$F292&lt;1),3,2),FALSE),0),IFERROR(VLOOKUP($C292,Trucks,2,FALSE),"")))</f>
        <v/>
      </c>
      <c r="I292" s="11">
        <f>IF($C292="","",CEILING(IF($H292&lt;&gt;"",$H292,IF($G292="",0,$G292))*IF($F292="",1,$F292),RoundInc))</f>
        <v/>
      </c>
      <c r="J292" s="4" t="n"/>
      <c r="K292" s="9">
        <f>IF($C292="","",IF(OR($C292="Truck stock",$C292="Purchase",$C292="Tech expense",$C292="Other"),"Yes","No"))</f>
        <v/>
      </c>
      <c r="L292" s="4" t="n"/>
      <c r="M292" s="9">
        <f>IF($A292="","",COUNTIF($A$2:$A292,$A292))</f>
        <v/>
      </c>
      <c r="N292" s="9">
        <f>IF($A292="","",TEXT($A292,"yyyy-mm-dd")&amp;"#"&amp;$M292)</f>
        <v/>
      </c>
    </row>
    <row r="293">
      <c r="A293" s="8" t="n"/>
      <c r="B293" s="9">
        <f>IF($A293="","",TEXT($A293,"ddd"))</f>
        <v/>
      </c>
      <c r="C293" s="4" t="n"/>
      <c r="D293" s="4" t="n"/>
      <c r="E293" s="4" t="n"/>
      <c r="F293" s="4" t="n"/>
      <c r="G293" s="6" t="n"/>
      <c r="H293" s="11">
        <f>IF($C293="","",IF($C293="Equipment",IFERROR(VLOOKUP($E293,EquipRates,IF(AND($F293&lt;&gt;"",$F293&lt;1),3,2),FALSE),0),IFERROR(VLOOKUP($C293,Trucks,2,FALSE),"")))</f>
        <v/>
      </c>
      <c r="I293" s="11">
        <f>IF($C293="","",CEILING(IF($H293&lt;&gt;"",$H293,IF($G293="",0,$G293))*IF($F293="",1,$F293),RoundInc))</f>
        <v/>
      </c>
      <c r="J293" s="4" t="n"/>
      <c r="K293" s="9">
        <f>IF($C293="","",IF(OR($C293="Truck stock",$C293="Purchase",$C293="Tech expense",$C293="Other"),"Yes","No"))</f>
        <v/>
      </c>
      <c r="L293" s="4" t="n"/>
      <c r="M293" s="9">
        <f>IF($A293="","",COUNTIF($A$2:$A293,$A293))</f>
        <v/>
      </c>
      <c r="N293" s="9">
        <f>IF($A293="","",TEXT($A293,"yyyy-mm-dd")&amp;"#"&amp;$M293)</f>
        <v/>
      </c>
    </row>
    <row r="294">
      <c r="A294" s="8" t="n"/>
      <c r="B294" s="9">
        <f>IF($A294="","",TEXT($A294,"ddd"))</f>
        <v/>
      </c>
      <c r="C294" s="4" t="n"/>
      <c r="D294" s="4" t="n"/>
      <c r="E294" s="4" t="n"/>
      <c r="F294" s="4" t="n"/>
      <c r="G294" s="6" t="n"/>
      <c r="H294" s="11">
        <f>IF($C294="","",IF($C294="Equipment",IFERROR(VLOOKUP($E294,EquipRates,IF(AND($F294&lt;&gt;"",$F294&lt;1),3,2),FALSE),0),IFERROR(VLOOKUP($C294,Trucks,2,FALSE),"")))</f>
        <v/>
      </c>
      <c r="I294" s="11">
        <f>IF($C294="","",CEILING(IF($H294&lt;&gt;"",$H294,IF($G294="",0,$G294))*IF($F294="",1,$F294),RoundInc))</f>
        <v/>
      </c>
      <c r="J294" s="4" t="n"/>
      <c r="K294" s="9">
        <f>IF($C294="","",IF(OR($C294="Truck stock",$C294="Purchase",$C294="Tech expense",$C294="Other"),"Yes","No"))</f>
        <v/>
      </c>
      <c r="L294" s="4" t="n"/>
      <c r="M294" s="9">
        <f>IF($A294="","",COUNTIF($A$2:$A294,$A294))</f>
        <v/>
      </c>
      <c r="N294" s="9">
        <f>IF($A294="","",TEXT($A294,"yyyy-mm-dd")&amp;"#"&amp;$M294)</f>
        <v/>
      </c>
    </row>
    <row r="295">
      <c r="A295" s="8" t="n"/>
      <c r="B295" s="9">
        <f>IF($A295="","",TEXT($A295,"ddd"))</f>
        <v/>
      </c>
      <c r="C295" s="4" t="n"/>
      <c r="D295" s="4" t="n"/>
      <c r="E295" s="4" t="n"/>
      <c r="F295" s="4" t="n"/>
      <c r="G295" s="6" t="n"/>
      <c r="H295" s="11">
        <f>IF($C295="","",IF($C295="Equipment",IFERROR(VLOOKUP($E295,EquipRates,IF(AND($F295&lt;&gt;"",$F295&lt;1),3,2),FALSE),0),IFERROR(VLOOKUP($C295,Trucks,2,FALSE),"")))</f>
        <v/>
      </c>
      <c r="I295" s="11">
        <f>IF($C295="","",CEILING(IF($H295&lt;&gt;"",$H295,IF($G295="",0,$G295))*IF($F295="",1,$F295),RoundInc))</f>
        <v/>
      </c>
      <c r="J295" s="4" t="n"/>
      <c r="K295" s="9">
        <f>IF($C295="","",IF(OR($C295="Truck stock",$C295="Purchase",$C295="Tech expense",$C295="Other"),"Yes","No"))</f>
        <v/>
      </c>
      <c r="L295" s="4" t="n"/>
      <c r="M295" s="9">
        <f>IF($A295="","",COUNTIF($A$2:$A295,$A295))</f>
        <v/>
      </c>
      <c r="N295" s="9">
        <f>IF($A295="","",TEXT($A295,"yyyy-mm-dd")&amp;"#"&amp;$M295)</f>
        <v/>
      </c>
    </row>
    <row r="296">
      <c r="A296" s="8" t="n"/>
      <c r="B296" s="9">
        <f>IF($A296="","",TEXT($A296,"ddd"))</f>
        <v/>
      </c>
      <c r="C296" s="4" t="n"/>
      <c r="D296" s="4" t="n"/>
      <c r="E296" s="4" t="n"/>
      <c r="F296" s="4" t="n"/>
      <c r="G296" s="6" t="n"/>
      <c r="H296" s="11">
        <f>IF($C296="","",IF($C296="Equipment",IFERROR(VLOOKUP($E296,EquipRates,IF(AND($F296&lt;&gt;"",$F296&lt;1),3,2),FALSE),0),IFERROR(VLOOKUP($C296,Trucks,2,FALSE),"")))</f>
        <v/>
      </c>
      <c r="I296" s="11">
        <f>IF($C296="","",CEILING(IF($H296&lt;&gt;"",$H296,IF($G296="",0,$G296))*IF($F296="",1,$F296),RoundInc))</f>
        <v/>
      </c>
      <c r="J296" s="4" t="n"/>
      <c r="K296" s="9">
        <f>IF($C296="","",IF(OR($C296="Truck stock",$C296="Purchase",$C296="Tech expense",$C296="Other"),"Yes","No"))</f>
        <v/>
      </c>
      <c r="L296" s="4" t="n"/>
      <c r="M296" s="9">
        <f>IF($A296="","",COUNTIF($A$2:$A296,$A296))</f>
        <v/>
      </c>
      <c r="N296" s="9">
        <f>IF($A296="","",TEXT($A296,"yyyy-mm-dd")&amp;"#"&amp;$M296)</f>
        <v/>
      </c>
    </row>
    <row r="297">
      <c r="A297" s="8" t="n"/>
      <c r="B297" s="9">
        <f>IF($A297="","",TEXT($A297,"ddd"))</f>
        <v/>
      </c>
      <c r="C297" s="4" t="n"/>
      <c r="D297" s="4" t="n"/>
      <c r="E297" s="4" t="n"/>
      <c r="F297" s="4" t="n"/>
      <c r="G297" s="6" t="n"/>
      <c r="H297" s="11">
        <f>IF($C297="","",IF($C297="Equipment",IFERROR(VLOOKUP($E297,EquipRates,IF(AND($F297&lt;&gt;"",$F297&lt;1),3,2),FALSE),0),IFERROR(VLOOKUP($C297,Trucks,2,FALSE),"")))</f>
        <v/>
      </c>
      <c r="I297" s="11">
        <f>IF($C297="","",CEILING(IF($H297&lt;&gt;"",$H297,IF($G297="",0,$G297))*IF($F297="",1,$F297),RoundInc))</f>
        <v/>
      </c>
      <c r="J297" s="4" t="n"/>
      <c r="K297" s="9">
        <f>IF($C297="","",IF(OR($C297="Truck stock",$C297="Purchase",$C297="Tech expense",$C297="Other"),"Yes","No"))</f>
        <v/>
      </c>
      <c r="L297" s="4" t="n"/>
      <c r="M297" s="9">
        <f>IF($A297="","",COUNTIF($A$2:$A297,$A297))</f>
        <v/>
      </c>
      <c r="N297" s="9">
        <f>IF($A297="","",TEXT($A297,"yyyy-mm-dd")&amp;"#"&amp;$M297)</f>
        <v/>
      </c>
    </row>
    <row r="298">
      <c r="A298" s="8" t="n"/>
      <c r="B298" s="9">
        <f>IF($A298="","",TEXT($A298,"ddd"))</f>
        <v/>
      </c>
      <c r="C298" s="4" t="n"/>
      <c r="D298" s="4" t="n"/>
      <c r="E298" s="4" t="n"/>
      <c r="F298" s="4" t="n"/>
      <c r="G298" s="6" t="n"/>
      <c r="H298" s="11">
        <f>IF($C298="","",IF($C298="Equipment",IFERROR(VLOOKUP($E298,EquipRates,IF(AND($F298&lt;&gt;"",$F298&lt;1),3,2),FALSE),0),IFERROR(VLOOKUP($C298,Trucks,2,FALSE),"")))</f>
        <v/>
      </c>
      <c r="I298" s="11">
        <f>IF($C298="","",CEILING(IF($H298&lt;&gt;"",$H298,IF($G298="",0,$G298))*IF($F298="",1,$F298),RoundInc))</f>
        <v/>
      </c>
      <c r="J298" s="4" t="n"/>
      <c r="K298" s="9">
        <f>IF($C298="","",IF(OR($C298="Truck stock",$C298="Purchase",$C298="Tech expense",$C298="Other"),"Yes","No"))</f>
        <v/>
      </c>
      <c r="L298" s="4" t="n"/>
      <c r="M298" s="9">
        <f>IF($A298="","",COUNTIF($A$2:$A298,$A298))</f>
        <v/>
      </c>
      <c r="N298" s="9">
        <f>IF($A298="","",TEXT($A298,"yyyy-mm-dd")&amp;"#"&amp;$M298)</f>
        <v/>
      </c>
    </row>
    <row r="299">
      <c r="A299" s="8" t="n"/>
      <c r="B299" s="9">
        <f>IF($A299="","",TEXT($A299,"ddd"))</f>
        <v/>
      </c>
      <c r="C299" s="4" t="n"/>
      <c r="D299" s="4" t="n"/>
      <c r="E299" s="4" t="n"/>
      <c r="F299" s="4" t="n"/>
      <c r="G299" s="6" t="n"/>
      <c r="H299" s="11">
        <f>IF($C299="","",IF($C299="Equipment",IFERROR(VLOOKUP($E299,EquipRates,IF(AND($F299&lt;&gt;"",$F299&lt;1),3,2),FALSE),0),IFERROR(VLOOKUP($C299,Trucks,2,FALSE),"")))</f>
        <v/>
      </c>
      <c r="I299" s="11">
        <f>IF($C299="","",CEILING(IF($H299&lt;&gt;"",$H299,IF($G299="",0,$G299))*IF($F299="",1,$F299),RoundInc))</f>
        <v/>
      </c>
      <c r="J299" s="4" t="n"/>
      <c r="K299" s="9">
        <f>IF($C299="","",IF(OR($C299="Truck stock",$C299="Purchase",$C299="Tech expense",$C299="Other"),"Yes","No"))</f>
        <v/>
      </c>
      <c r="L299" s="4" t="n"/>
      <c r="M299" s="9">
        <f>IF($A299="","",COUNTIF($A$2:$A299,$A299))</f>
        <v/>
      </c>
      <c r="N299" s="9">
        <f>IF($A299="","",TEXT($A299,"yyyy-mm-dd")&amp;"#"&amp;$M299)</f>
        <v/>
      </c>
    </row>
    <row r="300">
      <c r="A300" s="8" t="n"/>
      <c r="B300" s="9">
        <f>IF($A300="","",TEXT($A300,"ddd"))</f>
        <v/>
      </c>
      <c r="C300" s="4" t="n"/>
      <c r="D300" s="4" t="n"/>
      <c r="E300" s="4" t="n"/>
      <c r="F300" s="4" t="n"/>
      <c r="G300" s="6" t="n"/>
      <c r="H300" s="11">
        <f>IF($C300="","",IF($C300="Equipment",IFERROR(VLOOKUP($E300,EquipRates,IF(AND($F300&lt;&gt;"",$F300&lt;1),3,2),FALSE),0),IFERROR(VLOOKUP($C300,Trucks,2,FALSE),"")))</f>
        <v/>
      </c>
      <c r="I300" s="11">
        <f>IF($C300="","",CEILING(IF($H300&lt;&gt;"",$H300,IF($G300="",0,$G300))*IF($F300="",1,$F300),RoundInc))</f>
        <v/>
      </c>
      <c r="J300" s="4" t="n"/>
      <c r="K300" s="9">
        <f>IF($C300="","",IF(OR($C300="Truck stock",$C300="Purchase",$C300="Tech expense",$C300="Other"),"Yes","No"))</f>
        <v/>
      </c>
      <c r="L300" s="4" t="n"/>
      <c r="M300" s="9">
        <f>IF($A300="","",COUNTIF($A$2:$A300,$A300))</f>
        <v/>
      </c>
      <c r="N300" s="9">
        <f>IF($A300="","",TEXT($A300,"yyyy-mm-dd")&amp;"#"&amp;$M300)</f>
        <v/>
      </c>
    </row>
    <row r="301">
      <c r="A301" s="8" t="n"/>
      <c r="B301" s="9">
        <f>IF($A301="","",TEXT($A301,"ddd"))</f>
        <v/>
      </c>
      <c r="C301" s="4" t="n"/>
      <c r="D301" s="4" t="n"/>
      <c r="E301" s="4" t="n"/>
      <c r="F301" s="4" t="n"/>
      <c r="G301" s="6" t="n"/>
      <c r="H301" s="11">
        <f>IF($C301="","",IF($C301="Equipment",IFERROR(VLOOKUP($E301,EquipRates,IF(AND($F301&lt;&gt;"",$F301&lt;1),3,2),FALSE),0),IFERROR(VLOOKUP($C301,Trucks,2,FALSE),"")))</f>
        <v/>
      </c>
      <c r="I301" s="11">
        <f>IF($C301="","",CEILING(IF($H301&lt;&gt;"",$H301,IF($G301="",0,$G301))*IF($F301="",1,$F301),RoundInc))</f>
        <v/>
      </c>
      <c r="J301" s="4" t="n"/>
      <c r="K301" s="9">
        <f>IF($C301="","",IF(OR($C301="Truck stock",$C301="Purchase",$C301="Tech expense",$C301="Other"),"Yes","No"))</f>
        <v/>
      </c>
      <c r="L301" s="4" t="n"/>
      <c r="M301" s="9">
        <f>IF($A301="","",COUNTIF($A$2:$A301,$A301))</f>
        <v/>
      </c>
      <c r="N301" s="9">
        <f>IF($A301="","",TEXT($A301,"yyyy-mm-dd")&amp;"#"&amp;$M301)</f>
        <v/>
      </c>
    </row>
    <row r="302">
      <c r="A302" s="8" t="n"/>
      <c r="B302" s="9">
        <f>IF($A302="","",TEXT($A302,"ddd"))</f>
        <v/>
      </c>
      <c r="C302" s="4" t="n"/>
      <c r="D302" s="4" t="n"/>
      <c r="E302" s="4" t="n"/>
      <c r="F302" s="4" t="n"/>
      <c r="G302" s="6" t="n"/>
      <c r="H302" s="11">
        <f>IF($C302="","",IF($C302="Equipment",IFERROR(VLOOKUP($E302,EquipRates,IF(AND($F302&lt;&gt;"",$F302&lt;1),3,2),FALSE),0),IFERROR(VLOOKUP($C302,Trucks,2,FALSE),"")))</f>
        <v/>
      </c>
      <c r="I302" s="11">
        <f>IF($C302="","",CEILING(IF($H302&lt;&gt;"",$H302,IF($G302="",0,$G302))*IF($F302="",1,$F302),RoundInc))</f>
        <v/>
      </c>
      <c r="J302" s="4" t="n"/>
      <c r="K302" s="9">
        <f>IF($C302="","",IF(OR($C302="Truck stock",$C302="Purchase",$C302="Tech expense",$C302="Other"),"Yes","No"))</f>
        <v/>
      </c>
      <c r="L302" s="4" t="n"/>
      <c r="M302" s="9">
        <f>IF($A302="","",COUNTIF($A$2:$A302,$A302))</f>
        <v/>
      </c>
      <c r="N302" s="9">
        <f>IF($A302="","",TEXT($A302,"yyyy-mm-dd")&amp;"#"&amp;$M302)</f>
        <v/>
      </c>
    </row>
  </sheetData>
  <autoFilter ref="A1:N302"/>
  <dataValidations count="6">
    <dataValidation sqref="C2:C301" showDropDown="0" showInputMessage="0" showErrorMessage="1" allowBlank="1" errorTitle="Categoría no válida" error="Elige una categoría de la lista de Setup (F13:F20)." type="list">
      <formula1>=CategoryList</formula1>
    </dataValidation>
    <dataValidation sqref="D2:D301" showDropDown="0" showInputMessage="0" showErrorMessage="1" allowBlank="1" errorTitle="Técnico no válido" error="Elige un técnico de la lista de Setup (A30:A37)." type="list">
      <formula1>=TechCodes</formula1>
    </dataValidation>
    <dataValidation sqref="E2:E301" showDropDown="0" showInputMessage="0" showErrorMessage="1" allowBlank="1" errorTitle="Equipo desconocido" error="Elige un equipo del catálogo de Setup (A16:A25)." type="list">
      <formula1>=EquipNames</formula1>
    </dataValidation>
    <dataValidation sqref="F2:G301" showDropDown="0" showInputMessage="0" showErrorMessage="1" allowBlank="1" errorTitle="Importe no válido" error="Usa un número mayor o igual que 0." type="decimal" operator="greaterThanOrEqual">
      <formula1>0</formula1>
    </dataValidation>
    <dataValidation sqref="J2:J301" showDropDown="0" showInputMessage="0" showErrorMessage="1" allowBlank="1" errorTitle="Valor no válido" error="Usa Yes o No." type="list">
      <formula1>"Yes,No"</formula1>
    </dataValidation>
    <dataValidation sqref="L2:L301" showDropDown="0" showInputMessage="0" showErrorMessage="1" allowBlank="1" errorTitle="Valor no válido" error="Usa Yes o No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16" customWidth="1" min="4" max="4"/>
  </cols>
  <sheetData>
    <row r="1">
      <c r="A1" s="1" t="inlineStr">
        <is>
          <t>Invoice — Summary accounting sheet</t>
        </is>
      </c>
    </row>
    <row r="2">
      <c r="A2" s="2" t="inlineStr">
        <is>
          <t>Elige cliente y rango de fechas. Todo lo demás se calcula solo.</t>
        </is>
      </c>
    </row>
    <row r="4">
      <c r="A4" s="12" t="inlineStr">
        <is>
          <t>Client</t>
        </is>
      </c>
      <c r="B4" s="4" t="inlineStr"/>
    </row>
    <row r="5">
      <c r="A5" s="12" t="inlineStr">
        <is>
          <t>From date</t>
        </is>
      </c>
      <c r="B5" s="8" t="inlineStr"/>
    </row>
    <row r="6">
      <c r="A6" s="12" t="inlineStr">
        <is>
          <t>To date</t>
        </is>
      </c>
      <c r="B6" s="8" t="inlineStr"/>
    </row>
    <row r="7">
      <c r="A7" s="12" t="inlineStr">
        <is>
          <t>Discount (%)</t>
        </is>
      </c>
      <c r="B7" s="5" t="n">
        <v>0</v>
      </c>
    </row>
    <row r="8">
      <c r="A8" s="12" t="inlineStr">
        <is>
          <t>Discount ($ flat)</t>
        </is>
      </c>
      <c r="B8" s="6" t="n">
        <v>0</v>
      </c>
    </row>
    <row r="10">
      <c r="A10" t="inlineStr">
        <is>
          <t>Company</t>
        </is>
      </c>
      <c r="B10" s="12">
        <f>Setup!$B$7</f>
        <v/>
      </c>
    </row>
    <row r="11">
      <c r="A11" t="inlineStr">
        <is>
          <t>Bill to</t>
        </is>
      </c>
      <c r="B11">
        <f>IFERROR(IF($B$4="","",VLOOKUP($B$4,ClientTable,1,FALSE)),"")</f>
        <v/>
      </c>
    </row>
    <row r="12">
      <c r="A12" t="inlineStr">
        <is>
          <t>Address</t>
        </is>
      </c>
      <c r="B12">
        <f>IFERROR(IF($B$4="","",VLOOKUP($B$4,ClientTable,2,FALSE)),"")</f>
        <v/>
      </c>
    </row>
    <row r="13">
      <c r="A13" t="inlineStr">
        <is>
          <t>Job / Description</t>
        </is>
      </c>
      <c r="B13">
        <f>IFERROR(IF($B$4="","",VLOOKUP($B$4,ClientTable,3,FALSE)),"")</f>
        <v/>
      </c>
    </row>
    <row r="14">
      <c r="A14" t="inlineStr">
        <is>
          <t>Terms</t>
        </is>
      </c>
      <c r="B14">
        <f>IFERROR(IF($B$4="","",VLOOKUP($B$4,ClientTable,4,FALSE)),"")</f>
        <v/>
      </c>
    </row>
    <row r="17">
      <c r="A17" s="3" t="inlineStr">
        <is>
          <t>Labor — tech</t>
        </is>
      </c>
      <c r="B17" s="3" t="inlineStr">
        <is>
          <t>Hours</t>
        </is>
      </c>
      <c r="C17" s="3" t="inlineStr">
        <is>
          <t>Billed rate</t>
        </is>
      </c>
      <c r="D17" s="3" t="inlineStr">
        <is>
          <t>Amount</t>
        </is>
      </c>
    </row>
    <row r="18">
      <c r="A18" s="9">
        <f>Setup!$A$30</f>
        <v/>
      </c>
      <c r="B18" s="13">
        <f>SUMIFS(Labor!$D$2:$D$301,Labor!$C$2:$C$301,$A18,Labor!$A$2:$A$301,"&gt;="&amp;$B$5,Labor!$A$2:$A$301,"&lt;="&amp;$B$6)</f>
        <v/>
      </c>
      <c r="C18" s="13">
        <f>IFERROR(VLOOKUP($A18,TechRates,3,FALSE),0)</f>
        <v/>
      </c>
      <c r="D18" s="13">
        <f>CEILING($B18*$C18,RoundInc)</f>
        <v/>
      </c>
    </row>
    <row r="19">
      <c r="A19" s="9">
        <f>Setup!$A$31</f>
        <v/>
      </c>
      <c r="B19" s="13">
        <f>SUMIFS(Labor!$D$2:$D$301,Labor!$C$2:$C$301,$A19,Labor!$A$2:$A$301,"&gt;="&amp;$B$5,Labor!$A$2:$A$301,"&lt;="&amp;$B$6)</f>
        <v/>
      </c>
      <c r="C19" s="13">
        <f>IFERROR(VLOOKUP($A19,TechRates,3,FALSE),0)</f>
        <v/>
      </c>
      <c r="D19" s="13">
        <f>CEILING($B19*$C19,RoundInc)</f>
        <v/>
      </c>
    </row>
    <row r="20">
      <c r="A20" s="9">
        <f>Setup!$A$32</f>
        <v/>
      </c>
      <c r="B20" s="13">
        <f>SUMIFS(Labor!$D$2:$D$301,Labor!$C$2:$C$301,$A20,Labor!$A$2:$A$301,"&gt;="&amp;$B$5,Labor!$A$2:$A$301,"&lt;="&amp;$B$6)</f>
        <v/>
      </c>
      <c r="C20" s="13">
        <f>IFERROR(VLOOKUP($A20,TechRates,3,FALSE),0)</f>
        <v/>
      </c>
      <c r="D20" s="13">
        <f>CEILING($B20*$C20,RoundInc)</f>
        <v/>
      </c>
    </row>
    <row r="21">
      <c r="A21" s="9">
        <f>Setup!$A$33</f>
        <v/>
      </c>
      <c r="B21" s="13">
        <f>SUMIFS(Labor!$D$2:$D$301,Labor!$C$2:$C$301,$A21,Labor!$A$2:$A$301,"&gt;="&amp;$B$5,Labor!$A$2:$A$301,"&lt;="&amp;$B$6)</f>
        <v/>
      </c>
      <c r="C21" s="13">
        <f>IFERROR(VLOOKUP($A21,TechRates,3,FALSE),0)</f>
        <v/>
      </c>
      <c r="D21" s="13">
        <f>CEILING($B21*$C21,RoundInc)</f>
        <v/>
      </c>
    </row>
    <row r="22">
      <c r="A22" s="9">
        <f>Setup!$A$34</f>
        <v/>
      </c>
      <c r="B22" s="13">
        <f>SUMIFS(Labor!$D$2:$D$301,Labor!$C$2:$C$301,$A22,Labor!$A$2:$A$301,"&gt;="&amp;$B$5,Labor!$A$2:$A$301,"&lt;="&amp;$B$6)</f>
        <v/>
      </c>
      <c r="C22" s="13">
        <f>IFERROR(VLOOKUP($A22,TechRates,3,FALSE),0)</f>
        <v/>
      </c>
      <c r="D22" s="13">
        <f>CEILING($B22*$C22,RoundInc)</f>
        <v/>
      </c>
    </row>
    <row r="23">
      <c r="A23" s="9">
        <f>Setup!$A$35</f>
        <v/>
      </c>
      <c r="B23" s="13">
        <f>SUMIFS(Labor!$D$2:$D$301,Labor!$C$2:$C$301,$A23,Labor!$A$2:$A$301,"&gt;="&amp;$B$5,Labor!$A$2:$A$301,"&lt;="&amp;$B$6)</f>
        <v/>
      </c>
      <c r="C23" s="13">
        <f>IFERROR(VLOOKUP($A23,TechRates,3,FALSE),0)</f>
        <v/>
      </c>
      <c r="D23" s="13">
        <f>CEILING($B23*$C23,RoundInc)</f>
        <v/>
      </c>
    </row>
    <row r="24">
      <c r="A24" s="9">
        <f>Setup!$A$36</f>
        <v/>
      </c>
      <c r="B24" s="13">
        <f>SUMIFS(Labor!$D$2:$D$301,Labor!$C$2:$C$301,$A24,Labor!$A$2:$A$301,"&gt;="&amp;$B$5,Labor!$A$2:$A$301,"&lt;="&amp;$B$6)</f>
        <v/>
      </c>
      <c r="C24" s="13">
        <f>IFERROR(VLOOKUP($A24,TechRates,3,FALSE),0)</f>
        <v/>
      </c>
      <c r="D24" s="13">
        <f>CEILING($B24*$C24,RoundInc)</f>
        <v/>
      </c>
    </row>
    <row r="25">
      <c r="A25" s="9">
        <f>Setup!$A$37</f>
        <v/>
      </c>
      <c r="B25" s="13">
        <f>SUMIFS(Labor!$D$2:$D$301,Labor!$C$2:$C$301,$A25,Labor!$A$2:$A$301,"&gt;="&amp;$B$5,Labor!$A$2:$A$301,"&lt;="&amp;$B$6)</f>
        <v/>
      </c>
      <c r="C25" s="13">
        <f>IFERROR(VLOOKUP($A25,TechRates,3,FALSE),0)</f>
        <v/>
      </c>
      <c r="D25" s="13">
        <f>CEILING($B25*$C25,RoundInc)</f>
        <v/>
      </c>
    </row>
    <row r="26">
      <c r="C26" s="12" t="inlineStr">
        <is>
          <t>Labor subtotal</t>
        </is>
      </c>
      <c r="D26" s="14">
        <f>CEILING(SUM(D18:D25),RoundInc)</f>
        <v/>
      </c>
    </row>
    <row r="28">
      <c r="A28" s="3" t="inlineStr">
        <is>
          <t>Charges — no markup</t>
        </is>
      </c>
      <c r="B28" s="3" t="inlineStr"/>
      <c r="C28" s="3" t="inlineStr"/>
      <c r="D28" s="3" t="inlineStr">
        <is>
          <t>Amount</t>
        </is>
      </c>
    </row>
    <row r="29">
      <c r="A29" s="9" t="inlineStr">
        <is>
          <t>Truck 1</t>
        </is>
      </c>
      <c r="D29" s="13">
        <f>SUMIFS(Charges!$I$2:$I$301,Charges!$C$2:$C$301,$A29,Charges!$J$2:$J$301,"Yes",Charges!$A$2:$A$301,"&gt;="&amp;$B$5,Charges!$A$2:$A$301,"&lt;="&amp;$B$6)</f>
        <v/>
      </c>
    </row>
    <row r="30">
      <c r="A30" s="9" t="inlineStr">
        <is>
          <t>Truck 2</t>
        </is>
      </c>
      <c r="D30" s="13">
        <f>SUMIFS(Charges!$I$2:$I$301,Charges!$C$2:$C$301,$A30,Charges!$J$2:$J$301,"Yes",Charges!$A$2:$A$301,"&gt;="&amp;$B$5,Charges!$A$2:$A$301,"&lt;="&amp;$B$6)</f>
        <v/>
      </c>
    </row>
    <row r="31">
      <c r="A31" s="9" t="inlineStr">
        <is>
          <t>Trip charge</t>
        </is>
      </c>
      <c r="D31" s="13">
        <f>SUMIFS(Charges!$I$2:$I$301,Charges!$C$2:$C$301,$A31,Charges!$J$2:$J$301,"Yes",Charges!$A$2:$A$301,"&gt;="&amp;$B$5,Charges!$A$2:$A$301,"&lt;="&amp;$B$6)</f>
        <v/>
      </c>
    </row>
    <row r="32">
      <c r="A32" s="9" t="inlineStr">
        <is>
          <t>Equipment</t>
        </is>
      </c>
      <c r="D32" s="13">
        <f>SUMIFS(Charges!$I$2:$I$301,Charges!$C$2:$C$301,$A32,Charges!$J$2:$J$301,"Yes",Charges!$A$2:$A$301,"&gt;="&amp;$B$5,Charges!$A$2:$A$301,"&lt;="&amp;$B$6)</f>
        <v/>
      </c>
    </row>
    <row r="33">
      <c r="C33" s="12" t="inlineStr">
        <is>
          <t>Trucks / equipment subtotal</t>
        </is>
      </c>
      <c r="D33" s="14">
        <f>CEILING(SUM(D29:D32),RoundInc)</f>
        <v/>
      </c>
    </row>
    <row r="35">
      <c r="A35" s="3" t="inlineStr">
        <is>
          <t>Expenses (markup applies)</t>
        </is>
      </c>
      <c r="B35" s="3" t="inlineStr"/>
      <c r="C35" s="3" t="inlineStr"/>
      <c r="D35" s="3" t="inlineStr">
        <is>
          <t>Amount</t>
        </is>
      </c>
    </row>
    <row r="36">
      <c r="A36" s="9" t="inlineStr">
        <is>
          <t>Truck stock</t>
        </is>
      </c>
      <c r="D36" s="13">
        <f>SUMIFS(Charges!$I$2:$I$301,Charges!$C$2:$C$301,$A36,Charges!$J$2:$J$301,"Yes",Charges!$A$2:$A$301,"&gt;="&amp;$B$5,Charges!$A$2:$A$301,"&lt;="&amp;$B$6)</f>
        <v/>
      </c>
    </row>
    <row r="37">
      <c r="A37" s="9" t="inlineStr">
        <is>
          <t>Purchase</t>
        </is>
      </c>
      <c r="D37" s="13">
        <f>SUMIFS(Charges!$I$2:$I$301,Charges!$C$2:$C$301,$A37,Charges!$J$2:$J$301,"Yes",Charges!$A$2:$A$301,"&gt;="&amp;$B$5,Charges!$A$2:$A$301,"&lt;="&amp;$B$6)</f>
        <v/>
      </c>
    </row>
    <row r="38">
      <c r="A38" s="9" t="inlineStr">
        <is>
          <t>Tech expense</t>
        </is>
      </c>
      <c r="D38" s="13">
        <f>SUMIFS(Charges!$I$2:$I$301,Charges!$C$2:$C$301,$A38,Charges!$J$2:$J$301,"Yes",Charges!$A$2:$A$301,"&gt;="&amp;$B$5,Charges!$A$2:$A$301,"&lt;="&amp;$B$6)</f>
        <v/>
      </c>
    </row>
    <row r="39">
      <c r="A39" s="9" t="inlineStr">
        <is>
          <t>Other</t>
        </is>
      </c>
      <c r="D39" s="13">
        <f>SUMIFS(Charges!$I$2:$I$301,Charges!$C$2:$C$301,$A39,Charges!$J$2:$J$301,"Yes",Charges!$A$2:$A$301,"&gt;="&amp;$B$5,Charges!$A$2:$A$301,"&lt;="&amp;$B$6)</f>
        <v/>
      </c>
    </row>
    <row r="40">
      <c r="C40" s="12" t="inlineStr">
        <is>
          <t>Expenses subtotal</t>
        </is>
      </c>
      <c r="D40" s="13">
        <f>CEILING(SUM(D36:D39),RoundInc)</f>
        <v/>
      </c>
    </row>
    <row r="41">
      <c r="C41" s="12" t="inlineStr">
        <is>
          <t>Expense upcharge 15%</t>
        </is>
      </c>
      <c r="D41" s="13">
        <f>CEILING(D40*UpchargePct,RoundInc)</f>
        <v/>
      </c>
    </row>
    <row r="42">
      <c r="C42" s="12" t="inlineStr">
        <is>
          <t>Expenses with upcharge</t>
        </is>
      </c>
      <c r="D42" s="15">
        <f>CEILING(D40+D41,RoundInc)</f>
        <v/>
      </c>
    </row>
    <row r="44">
      <c r="C44" t="inlineStr">
        <is>
          <t>Subtotal</t>
        </is>
      </c>
      <c r="D44" s="13">
        <f>CEILING(D26+D33+D42,RoundInc)</f>
        <v/>
      </c>
    </row>
    <row r="45">
      <c r="C45" t="inlineStr">
        <is>
          <t>Discount (%)</t>
        </is>
      </c>
      <c r="D45" s="13">
        <f>CEILING(D44*$B$7,RoundInc)</f>
        <v/>
      </c>
    </row>
    <row r="46">
      <c r="C46" t="inlineStr">
        <is>
          <t>Discount ($ flat)</t>
        </is>
      </c>
      <c r="D46" s="13">
        <f>$B$8</f>
        <v/>
      </c>
    </row>
    <row r="47">
      <c r="C47" t="inlineStr">
        <is>
          <t>Total discount</t>
        </is>
      </c>
      <c r="D47" s="13">
        <f>CEILING(D45+D46,RoundInc)</f>
        <v/>
      </c>
    </row>
    <row r="48">
      <c r="C48" s="16" t="inlineStr">
        <is>
          <t>GRAND TOTAL DUE</t>
        </is>
      </c>
      <c r="D48" s="17">
        <f>CEILING(D44-D47,RoundInc)</f>
        <v/>
      </c>
    </row>
    <row r="50">
      <c r="A50" s="2" t="inlineStr">
        <is>
          <t>Las cifras siguen al rango de fechas. Los importes siempre se redondean hacia arriba con CEILING(...,RoundInc).</t>
        </is>
      </c>
    </row>
    <row r="51">
      <c r="A51" s="2" t="inlineStr">
        <is>
          <t>SUMIFS barre columnas completas del registro, así que puedes añadir o borrar filas sin romper subtotales.</t>
        </is>
      </c>
    </row>
  </sheetData>
  <dataValidations count="1">
    <dataValidation sqref="B4" showDropDown="0" showInputMessage="0" showErrorMessage="1" allowBlank="1" errorTitle="Cliente desconocido" error="Elige un cliente de la tabla de Setup (F3:F8)." type="list">
      <formula1>=ClientNames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4" customWidth="1" min="5" max="5"/>
    <col width="16" customWidth="1" min="6" max="6"/>
    <col width="15" customWidth="1" min="7" max="7"/>
  </cols>
  <sheetData>
    <row r="1">
      <c r="A1" s="1" t="inlineStr">
        <is>
          <t>Payroll — nómina por técnico</t>
        </is>
      </c>
    </row>
    <row r="2">
      <c r="A2" s="2" t="inlineStr">
        <is>
          <t>Elige el rango de fechas: la nómina se calcula sobre las horas registradas.</t>
        </is>
      </c>
    </row>
    <row r="4">
      <c r="A4" t="inlineStr">
        <is>
          <t>From date</t>
        </is>
      </c>
      <c r="B4" s="8" t="n"/>
    </row>
    <row r="5">
      <c r="A5" t="inlineStr">
        <is>
          <t>To date</t>
        </is>
      </c>
      <c r="B5" s="8" t="n"/>
    </row>
    <row r="7">
      <c r="A7" s="3" t="inlineStr">
        <is>
          <t>Tech</t>
        </is>
      </c>
      <c r="B7" s="3" t="inlineStr">
        <is>
          <t>Name</t>
        </is>
      </c>
      <c r="C7" s="3" t="inlineStr">
        <is>
          <t>Hours</t>
        </is>
      </c>
      <c r="D7" s="3" t="inlineStr">
        <is>
          <t>Pay rate</t>
        </is>
      </c>
      <c r="E7" s="3" t="inlineStr">
        <is>
          <t>Gross pay</t>
        </is>
      </c>
      <c r="F7" s="3" t="inlineStr">
        <is>
          <t>Reimbursements</t>
        </is>
      </c>
      <c r="G7" s="3" t="inlineStr">
        <is>
          <t>Total to pay</t>
        </is>
      </c>
    </row>
    <row r="8">
      <c r="A8" s="9">
        <f>Setup!$A$30</f>
        <v/>
      </c>
      <c r="B8" s="9">
        <f>IFERROR(VLOOKUP($A8,TechRates,2,FALSE),"")</f>
        <v/>
      </c>
      <c r="C8" s="13">
        <f>SUMIFS(Labor!$D$2:$D$301,Labor!$C$2:$C$301,$A8,Labor!$A$2:$A$301,"&gt;="&amp;$B$4,Labor!$A$2:$A$301,"&lt;="&amp;$B$5)</f>
        <v/>
      </c>
      <c r="D8" s="11">
        <f>IFERROR(VLOOKUP($A8,TechRates,4,FALSE),0)</f>
        <v/>
      </c>
      <c r="E8" s="13">
        <f>CEILING($C8*$D8,RoundInc)</f>
        <v/>
      </c>
      <c r="F8" s="13">
        <f>SUMIFS(Charges!$I$2:$I$301,Charges!$D$2:$D$301,$A8,Charges!$C$2:$C$301,"Tech expense",Charges!$L$2:$L$301,"Yes",Charges!$A$2:$A$301,"&gt;="&amp;$B$4,Charges!$A$2:$A$301,"&lt;="&amp;$B$5)</f>
        <v/>
      </c>
      <c r="G8" s="13">
        <f>CEILING($E8+$F8,RoundInc)</f>
        <v/>
      </c>
    </row>
    <row r="9">
      <c r="A9" s="9">
        <f>Setup!$A$31</f>
        <v/>
      </c>
      <c r="B9" s="9">
        <f>IFERROR(VLOOKUP($A9,TechRates,2,FALSE),"")</f>
        <v/>
      </c>
      <c r="C9" s="13">
        <f>SUMIFS(Labor!$D$2:$D$301,Labor!$C$2:$C$301,$A9,Labor!$A$2:$A$301,"&gt;="&amp;$B$4,Labor!$A$2:$A$301,"&lt;="&amp;$B$5)</f>
        <v/>
      </c>
      <c r="D9" s="11">
        <f>IFERROR(VLOOKUP($A9,TechRates,4,FALSE),0)</f>
        <v/>
      </c>
      <c r="E9" s="13">
        <f>CEILING($C9*$D9,RoundInc)</f>
        <v/>
      </c>
      <c r="F9" s="13">
        <f>SUMIFS(Charges!$I$2:$I$301,Charges!$D$2:$D$301,$A9,Charges!$C$2:$C$301,"Tech expense",Charges!$L$2:$L$301,"Yes",Charges!$A$2:$A$301,"&gt;="&amp;$B$4,Charges!$A$2:$A$301,"&lt;="&amp;$B$5)</f>
        <v/>
      </c>
      <c r="G9" s="13">
        <f>CEILING($E9+$F9,RoundInc)</f>
        <v/>
      </c>
    </row>
    <row r="10">
      <c r="A10" s="9">
        <f>Setup!$A$32</f>
        <v/>
      </c>
      <c r="B10" s="9">
        <f>IFERROR(VLOOKUP($A10,TechRates,2,FALSE),"")</f>
        <v/>
      </c>
      <c r="C10" s="13">
        <f>SUMIFS(Labor!$D$2:$D$301,Labor!$C$2:$C$301,$A10,Labor!$A$2:$A$301,"&gt;="&amp;$B$4,Labor!$A$2:$A$301,"&lt;="&amp;$B$5)</f>
        <v/>
      </c>
      <c r="D10" s="11">
        <f>IFERROR(VLOOKUP($A10,TechRates,4,FALSE),0)</f>
        <v/>
      </c>
      <c r="E10" s="13">
        <f>CEILING($C10*$D10,RoundInc)</f>
        <v/>
      </c>
      <c r="F10" s="13">
        <f>SUMIFS(Charges!$I$2:$I$301,Charges!$D$2:$D$301,$A10,Charges!$C$2:$C$301,"Tech expense",Charges!$L$2:$L$301,"Yes",Charges!$A$2:$A$301,"&gt;="&amp;$B$4,Charges!$A$2:$A$301,"&lt;="&amp;$B$5)</f>
        <v/>
      </c>
      <c r="G10" s="13">
        <f>CEILING($E10+$F10,RoundInc)</f>
        <v/>
      </c>
    </row>
    <row r="11">
      <c r="A11" s="9">
        <f>Setup!$A$33</f>
        <v/>
      </c>
      <c r="B11" s="9">
        <f>IFERROR(VLOOKUP($A11,TechRates,2,FALSE),"")</f>
        <v/>
      </c>
      <c r="C11" s="13">
        <f>SUMIFS(Labor!$D$2:$D$301,Labor!$C$2:$C$301,$A11,Labor!$A$2:$A$301,"&gt;="&amp;$B$4,Labor!$A$2:$A$301,"&lt;="&amp;$B$5)</f>
        <v/>
      </c>
      <c r="D11" s="11">
        <f>IFERROR(VLOOKUP($A11,TechRates,4,FALSE),0)</f>
        <v/>
      </c>
      <c r="E11" s="13">
        <f>CEILING($C11*$D11,RoundInc)</f>
        <v/>
      </c>
      <c r="F11" s="13">
        <f>SUMIFS(Charges!$I$2:$I$301,Charges!$D$2:$D$301,$A11,Charges!$C$2:$C$301,"Tech expense",Charges!$L$2:$L$301,"Yes",Charges!$A$2:$A$301,"&gt;="&amp;$B$4,Charges!$A$2:$A$301,"&lt;="&amp;$B$5)</f>
        <v/>
      </c>
      <c r="G11" s="13">
        <f>CEILING($E11+$F11,RoundInc)</f>
        <v/>
      </c>
    </row>
    <row r="12">
      <c r="A12" s="9">
        <f>Setup!$A$34</f>
        <v/>
      </c>
      <c r="B12" s="9">
        <f>IFERROR(VLOOKUP($A12,TechRates,2,FALSE),"")</f>
        <v/>
      </c>
      <c r="C12" s="13">
        <f>SUMIFS(Labor!$D$2:$D$301,Labor!$C$2:$C$301,$A12,Labor!$A$2:$A$301,"&gt;="&amp;$B$4,Labor!$A$2:$A$301,"&lt;="&amp;$B$5)</f>
        <v/>
      </c>
      <c r="D12" s="11">
        <f>IFERROR(VLOOKUP($A12,TechRates,4,FALSE),0)</f>
        <v/>
      </c>
      <c r="E12" s="13">
        <f>CEILING($C12*$D12,RoundInc)</f>
        <v/>
      </c>
      <c r="F12" s="13">
        <f>SUMIFS(Charges!$I$2:$I$301,Charges!$D$2:$D$301,$A12,Charges!$C$2:$C$301,"Tech expense",Charges!$L$2:$L$301,"Yes",Charges!$A$2:$A$301,"&gt;="&amp;$B$4,Charges!$A$2:$A$301,"&lt;="&amp;$B$5)</f>
        <v/>
      </c>
      <c r="G12" s="13">
        <f>CEILING($E12+$F12,RoundInc)</f>
        <v/>
      </c>
    </row>
    <row r="13">
      <c r="A13" s="9">
        <f>Setup!$A$35</f>
        <v/>
      </c>
      <c r="B13" s="9">
        <f>IFERROR(VLOOKUP($A13,TechRates,2,FALSE),"")</f>
        <v/>
      </c>
      <c r="C13" s="13">
        <f>SUMIFS(Labor!$D$2:$D$301,Labor!$C$2:$C$301,$A13,Labor!$A$2:$A$301,"&gt;="&amp;$B$4,Labor!$A$2:$A$301,"&lt;="&amp;$B$5)</f>
        <v/>
      </c>
      <c r="D13" s="11">
        <f>IFERROR(VLOOKUP($A13,TechRates,4,FALSE),0)</f>
        <v/>
      </c>
      <c r="E13" s="13">
        <f>CEILING($C13*$D13,RoundInc)</f>
        <v/>
      </c>
      <c r="F13" s="13">
        <f>SUMIFS(Charges!$I$2:$I$301,Charges!$D$2:$D$301,$A13,Charges!$C$2:$C$301,"Tech expense",Charges!$L$2:$L$301,"Yes",Charges!$A$2:$A$301,"&gt;="&amp;$B$4,Charges!$A$2:$A$301,"&lt;="&amp;$B$5)</f>
        <v/>
      </c>
      <c r="G13" s="13">
        <f>CEILING($E13+$F13,RoundInc)</f>
        <v/>
      </c>
    </row>
    <row r="14">
      <c r="A14" s="9">
        <f>Setup!$A$36</f>
        <v/>
      </c>
      <c r="B14" s="9">
        <f>IFERROR(VLOOKUP($A14,TechRates,2,FALSE),"")</f>
        <v/>
      </c>
      <c r="C14" s="13">
        <f>SUMIFS(Labor!$D$2:$D$301,Labor!$C$2:$C$301,$A14,Labor!$A$2:$A$301,"&gt;="&amp;$B$4,Labor!$A$2:$A$301,"&lt;="&amp;$B$5)</f>
        <v/>
      </c>
      <c r="D14" s="11">
        <f>IFERROR(VLOOKUP($A14,TechRates,4,FALSE),0)</f>
        <v/>
      </c>
      <c r="E14" s="13">
        <f>CEILING($C14*$D14,RoundInc)</f>
        <v/>
      </c>
      <c r="F14" s="13">
        <f>SUMIFS(Charges!$I$2:$I$301,Charges!$D$2:$D$301,$A14,Charges!$C$2:$C$301,"Tech expense",Charges!$L$2:$L$301,"Yes",Charges!$A$2:$A$301,"&gt;="&amp;$B$4,Charges!$A$2:$A$301,"&lt;="&amp;$B$5)</f>
        <v/>
      </c>
      <c r="G14" s="13">
        <f>CEILING($E14+$F14,RoundInc)</f>
        <v/>
      </c>
    </row>
    <row r="15">
      <c r="A15" s="9">
        <f>Setup!$A$37</f>
        <v/>
      </c>
      <c r="B15" s="9">
        <f>IFERROR(VLOOKUP($A15,TechRates,2,FALSE),"")</f>
        <v/>
      </c>
      <c r="C15" s="13">
        <f>SUMIFS(Labor!$D$2:$D$301,Labor!$C$2:$C$301,$A15,Labor!$A$2:$A$301,"&gt;="&amp;$B$4,Labor!$A$2:$A$301,"&lt;="&amp;$B$5)</f>
        <v/>
      </c>
      <c r="D15" s="11">
        <f>IFERROR(VLOOKUP($A15,TechRates,4,FALSE),0)</f>
        <v/>
      </c>
      <c r="E15" s="13">
        <f>CEILING($C15*$D15,RoundInc)</f>
        <v/>
      </c>
      <c r="F15" s="13">
        <f>SUMIFS(Charges!$I$2:$I$301,Charges!$D$2:$D$301,$A15,Charges!$C$2:$C$301,"Tech expense",Charges!$L$2:$L$301,"Yes",Charges!$A$2:$A$301,"&gt;="&amp;$B$4,Charges!$A$2:$A$301,"&lt;="&amp;$B$5)</f>
        <v/>
      </c>
      <c r="G15" s="13">
        <f>CEILING($E15+$F15,RoundInc)</f>
        <v/>
      </c>
    </row>
    <row r="16">
      <c r="B16" s="18" t="inlineStr">
        <is>
          <t>TOTAL PAYROLL</t>
        </is>
      </c>
      <c r="C16" s="14">
        <f>CEILING(SUM(C8:C15),RoundInc)</f>
        <v/>
      </c>
      <c r="D16" s="18" t="n"/>
      <c r="E16" s="14">
        <f>CEILING(SUM(E8:E15),RoundInc)</f>
        <v/>
      </c>
      <c r="F16" s="14">
        <f>CEILING(SUM(F8:F15),RoundInc)</f>
        <v/>
      </c>
      <c r="G16" s="14">
        <f>CEILING(SUM(G8:G15),RoundInc)</f>
        <v/>
      </c>
    </row>
    <row r="18">
      <c r="A18" s="2" t="inlineStr">
        <is>
          <t>Reimbursements = cargos de categoría "Tech expense" con "Reimburse tech" = Yes en la hoja Charges.</t>
        </is>
      </c>
    </row>
  </sheetData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Daily accounting sheet — entregable al cliente</t>
        </is>
      </c>
    </row>
    <row r="2">
      <c r="A2" s="2" t="inlineStr">
        <is>
          <t>Escribe la fecha arriba (G3). El detalle del día se rellena solo.</t>
        </is>
      </c>
    </row>
    <row r="3">
      <c r="G3" s="12" t="inlineStr">
        <is>
          <t>Date shown</t>
        </is>
      </c>
      <c r="H3" s="8">
        <f>Invoice!$B$5</f>
        <v/>
      </c>
    </row>
    <row r="4">
      <c r="A4" t="inlineStr">
        <is>
          <t>Client</t>
        </is>
      </c>
      <c r="B4">
        <f>IFERROR(VLOOKUP(Invoice!$B$4,ClientTable,1,FALSE),"")</f>
        <v/>
      </c>
    </row>
    <row r="5">
      <c r="A5" t="inlineStr">
        <is>
          <t>Address</t>
        </is>
      </c>
      <c r="B5">
        <f>IFERROR(VLOOKUP(Invoice!$B$4,ClientTable,2,FALSE),"")</f>
        <v/>
      </c>
    </row>
    <row r="6">
      <c r="A6" t="inlineStr">
        <is>
          <t>Job / Description</t>
        </is>
      </c>
      <c r="B6">
        <f>IFERROR(VLOOKUP(Invoice!$B$4,ClientTable,3,FALSE),"")</f>
        <v/>
      </c>
    </row>
    <row r="7">
      <c r="A7" t="inlineStr">
        <is>
          <t>Date</t>
        </is>
      </c>
      <c r="B7" s="19">
        <f>Invoice!$B$5</f>
        <v/>
      </c>
    </row>
    <row r="9">
      <c r="A9" s="3" t="inlineStr">
        <is>
          <t>Labor</t>
        </is>
      </c>
      <c r="B9" s="3" t="inlineStr">
        <is>
          <t>Tech</t>
        </is>
      </c>
      <c r="C9" s="3" t="inlineStr">
        <is>
          <t>Hours</t>
        </is>
      </c>
      <c r="D9" s="3" t="inlineStr">
        <is>
          <t>Rate</t>
        </is>
      </c>
      <c r="E9" s="3" t="inlineStr">
        <is>
          <t>Amount</t>
        </is>
      </c>
    </row>
    <row r="10">
      <c r="B10">
        <f>IFERROR(INDEX(Labor!$C$2:$C$301,MATCH(TEXT($H$3,"yyyy-mm-dd")&amp;"#"&amp;1,Labor!$I$2:$I$301,0)),"")</f>
        <v/>
      </c>
      <c r="C10">
        <f>IFERROR(INDEX(Labor!$D$2:$D$301,MATCH(TEXT($H$3,"yyyy-mm-dd")&amp;"#"&amp;1,Labor!$I$2:$I$301,0)),"")</f>
        <v/>
      </c>
      <c r="D10" s="13">
        <f>IFERROR(INDEX(Labor!$E$2:$E$301,MATCH(TEXT($H$3,"yyyy-mm-dd")&amp;"#"&amp;1,Labor!$I$2:$I$301,0)),"")</f>
        <v/>
      </c>
      <c r="E10" s="13">
        <f>IFERROR(INDEX(Labor!$F$2:$F$301,MATCH(TEXT($H$3,"yyyy-mm-dd")&amp;"#"&amp;1,Labor!$I$2:$I$301,0)),"")</f>
        <v/>
      </c>
    </row>
    <row r="11">
      <c r="B11">
        <f>IFERROR(INDEX(Labor!$C$2:$C$301,MATCH(TEXT($H$3,"yyyy-mm-dd")&amp;"#"&amp;2,Labor!$I$2:$I$301,0)),"")</f>
        <v/>
      </c>
      <c r="C11">
        <f>IFERROR(INDEX(Labor!$D$2:$D$301,MATCH(TEXT($H$3,"yyyy-mm-dd")&amp;"#"&amp;2,Labor!$I$2:$I$301,0)),"")</f>
        <v/>
      </c>
      <c r="D11" s="13">
        <f>IFERROR(INDEX(Labor!$E$2:$E$301,MATCH(TEXT($H$3,"yyyy-mm-dd")&amp;"#"&amp;2,Labor!$I$2:$I$301,0)),"")</f>
        <v/>
      </c>
      <c r="E11" s="13">
        <f>IFERROR(INDEX(Labor!$F$2:$F$301,MATCH(TEXT($H$3,"yyyy-mm-dd")&amp;"#"&amp;2,Labor!$I$2:$I$301,0)),"")</f>
        <v/>
      </c>
    </row>
    <row r="12">
      <c r="B12">
        <f>IFERROR(INDEX(Labor!$C$2:$C$301,MATCH(TEXT($H$3,"yyyy-mm-dd")&amp;"#"&amp;3,Labor!$I$2:$I$301,0)),"")</f>
        <v/>
      </c>
      <c r="C12">
        <f>IFERROR(INDEX(Labor!$D$2:$D$301,MATCH(TEXT($H$3,"yyyy-mm-dd")&amp;"#"&amp;3,Labor!$I$2:$I$301,0)),"")</f>
        <v/>
      </c>
      <c r="D12" s="13">
        <f>IFERROR(INDEX(Labor!$E$2:$E$301,MATCH(TEXT($H$3,"yyyy-mm-dd")&amp;"#"&amp;3,Labor!$I$2:$I$301,0)),"")</f>
        <v/>
      </c>
      <c r="E12" s="13">
        <f>IFERROR(INDEX(Labor!$F$2:$F$301,MATCH(TEXT($H$3,"yyyy-mm-dd")&amp;"#"&amp;3,Labor!$I$2:$I$301,0)),"")</f>
        <v/>
      </c>
    </row>
    <row r="13">
      <c r="B13">
        <f>IFERROR(INDEX(Labor!$C$2:$C$301,MATCH(TEXT($H$3,"yyyy-mm-dd")&amp;"#"&amp;4,Labor!$I$2:$I$301,0)),"")</f>
        <v/>
      </c>
      <c r="C13">
        <f>IFERROR(INDEX(Labor!$D$2:$D$301,MATCH(TEXT($H$3,"yyyy-mm-dd")&amp;"#"&amp;4,Labor!$I$2:$I$301,0)),"")</f>
        <v/>
      </c>
      <c r="D13" s="13">
        <f>IFERROR(INDEX(Labor!$E$2:$E$301,MATCH(TEXT($H$3,"yyyy-mm-dd")&amp;"#"&amp;4,Labor!$I$2:$I$301,0)),"")</f>
        <v/>
      </c>
      <c r="E13" s="13">
        <f>IFERROR(INDEX(Labor!$F$2:$F$301,MATCH(TEXT($H$3,"yyyy-mm-dd")&amp;"#"&amp;4,Labor!$I$2:$I$301,0)),"")</f>
        <v/>
      </c>
    </row>
    <row r="14">
      <c r="B14">
        <f>IFERROR(INDEX(Labor!$C$2:$C$301,MATCH(TEXT($H$3,"yyyy-mm-dd")&amp;"#"&amp;5,Labor!$I$2:$I$301,0)),"")</f>
        <v/>
      </c>
      <c r="C14">
        <f>IFERROR(INDEX(Labor!$D$2:$D$301,MATCH(TEXT($H$3,"yyyy-mm-dd")&amp;"#"&amp;5,Labor!$I$2:$I$301,0)),"")</f>
        <v/>
      </c>
      <c r="D14" s="13">
        <f>IFERROR(INDEX(Labor!$E$2:$E$301,MATCH(TEXT($H$3,"yyyy-mm-dd")&amp;"#"&amp;5,Labor!$I$2:$I$301,0)),"")</f>
        <v/>
      </c>
      <c r="E14" s="13">
        <f>IFERROR(INDEX(Labor!$F$2:$F$301,MATCH(TEXT($H$3,"yyyy-mm-dd")&amp;"#"&amp;5,Labor!$I$2:$I$301,0)),"")</f>
        <v/>
      </c>
    </row>
    <row r="15">
      <c r="B15">
        <f>IFERROR(INDEX(Labor!$C$2:$C$301,MATCH(TEXT($H$3,"yyyy-mm-dd")&amp;"#"&amp;6,Labor!$I$2:$I$301,0)),"")</f>
        <v/>
      </c>
      <c r="C15">
        <f>IFERROR(INDEX(Labor!$D$2:$D$301,MATCH(TEXT($H$3,"yyyy-mm-dd")&amp;"#"&amp;6,Labor!$I$2:$I$301,0)),"")</f>
        <v/>
      </c>
      <c r="D15" s="13">
        <f>IFERROR(INDEX(Labor!$E$2:$E$301,MATCH(TEXT($H$3,"yyyy-mm-dd")&amp;"#"&amp;6,Labor!$I$2:$I$301,0)),"")</f>
        <v/>
      </c>
      <c r="E15" s="13">
        <f>IFERROR(INDEX(Labor!$F$2:$F$301,MATCH(TEXT($H$3,"yyyy-mm-dd")&amp;"#"&amp;6,Labor!$I$2:$I$301,0)),"")</f>
        <v/>
      </c>
    </row>
    <row r="16">
      <c r="B16">
        <f>IFERROR(INDEX(Labor!$C$2:$C$301,MATCH(TEXT($H$3,"yyyy-mm-dd")&amp;"#"&amp;7,Labor!$I$2:$I$301,0)),"")</f>
        <v/>
      </c>
      <c r="C16">
        <f>IFERROR(INDEX(Labor!$D$2:$D$301,MATCH(TEXT($H$3,"yyyy-mm-dd")&amp;"#"&amp;7,Labor!$I$2:$I$301,0)),"")</f>
        <v/>
      </c>
      <c r="D16" s="13">
        <f>IFERROR(INDEX(Labor!$E$2:$E$301,MATCH(TEXT($H$3,"yyyy-mm-dd")&amp;"#"&amp;7,Labor!$I$2:$I$301,0)),"")</f>
        <v/>
      </c>
      <c r="E16" s="13">
        <f>IFERROR(INDEX(Labor!$F$2:$F$301,MATCH(TEXT($H$3,"yyyy-mm-dd")&amp;"#"&amp;7,Labor!$I$2:$I$301,0)),"")</f>
        <v/>
      </c>
    </row>
    <row r="17">
      <c r="B17">
        <f>IFERROR(INDEX(Labor!$C$2:$C$301,MATCH(TEXT($H$3,"yyyy-mm-dd")&amp;"#"&amp;8,Labor!$I$2:$I$301,0)),"")</f>
        <v/>
      </c>
      <c r="C17">
        <f>IFERROR(INDEX(Labor!$D$2:$D$301,MATCH(TEXT($H$3,"yyyy-mm-dd")&amp;"#"&amp;8,Labor!$I$2:$I$301,0)),"")</f>
        <v/>
      </c>
      <c r="D17" s="13">
        <f>IFERROR(INDEX(Labor!$E$2:$E$301,MATCH(TEXT($H$3,"yyyy-mm-dd")&amp;"#"&amp;8,Labor!$I$2:$I$301,0)),"")</f>
        <v/>
      </c>
      <c r="E17" s="13">
        <f>IFERROR(INDEX(Labor!$F$2:$F$301,MATCH(TEXT($H$3,"yyyy-mm-dd")&amp;"#"&amp;8,Labor!$I$2:$I$301,0)),"")</f>
        <v/>
      </c>
    </row>
    <row r="18">
      <c r="B18">
        <f>IFERROR(INDEX(Labor!$C$2:$C$301,MATCH(TEXT($H$3,"yyyy-mm-dd")&amp;"#"&amp;9,Labor!$I$2:$I$301,0)),"")</f>
        <v/>
      </c>
      <c r="C18">
        <f>IFERROR(INDEX(Labor!$D$2:$D$301,MATCH(TEXT($H$3,"yyyy-mm-dd")&amp;"#"&amp;9,Labor!$I$2:$I$301,0)),"")</f>
        <v/>
      </c>
      <c r="D18" s="13">
        <f>IFERROR(INDEX(Labor!$E$2:$E$301,MATCH(TEXT($H$3,"yyyy-mm-dd")&amp;"#"&amp;9,Labor!$I$2:$I$301,0)),"")</f>
        <v/>
      </c>
      <c r="E18" s="13">
        <f>IFERROR(INDEX(Labor!$F$2:$F$301,MATCH(TEXT($H$3,"yyyy-mm-dd")&amp;"#"&amp;9,Labor!$I$2:$I$301,0)),"")</f>
        <v/>
      </c>
    </row>
    <row r="19">
      <c r="B19">
        <f>IFERROR(INDEX(Labor!$C$2:$C$301,MATCH(TEXT($H$3,"yyyy-mm-dd")&amp;"#"&amp;10,Labor!$I$2:$I$301,0)),"")</f>
        <v/>
      </c>
      <c r="C19">
        <f>IFERROR(INDEX(Labor!$D$2:$D$301,MATCH(TEXT($H$3,"yyyy-mm-dd")&amp;"#"&amp;10,Labor!$I$2:$I$301,0)),"")</f>
        <v/>
      </c>
      <c r="D19" s="13">
        <f>IFERROR(INDEX(Labor!$E$2:$E$301,MATCH(TEXT($H$3,"yyyy-mm-dd")&amp;"#"&amp;10,Labor!$I$2:$I$301,0)),"")</f>
        <v/>
      </c>
      <c r="E19" s="13">
        <f>IFERROR(INDEX(Labor!$F$2:$F$301,MATCH(TEXT($H$3,"yyyy-mm-dd")&amp;"#"&amp;10,Labor!$I$2:$I$301,0)),"")</f>
        <v/>
      </c>
    </row>
    <row r="20">
      <c r="B20">
        <f>IFERROR(INDEX(Labor!$C$2:$C$301,MATCH(TEXT($H$3,"yyyy-mm-dd")&amp;"#"&amp;11,Labor!$I$2:$I$301,0)),"")</f>
        <v/>
      </c>
      <c r="C20">
        <f>IFERROR(INDEX(Labor!$D$2:$D$301,MATCH(TEXT($H$3,"yyyy-mm-dd")&amp;"#"&amp;11,Labor!$I$2:$I$301,0)),"")</f>
        <v/>
      </c>
      <c r="D20" s="13">
        <f>IFERROR(INDEX(Labor!$E$2:$E$301,MATCH(TEXT($H$3,"yyyy-mm-dd")&amp;"#"&amp;11,Labor!$I$2:$I$301,0)),"")</f>
        <v/>
      </c>
      <c r="E20" s="13">
        <f>IFERROR(INDEX(Labor!$F$2:$F$301,MATCH(TEXT($H$3,"yyyy-mm-dd")&amp;"#"&amp;11,Labor!$I$2:$I$301,0)),"")</f>
        <v/>
      </c>
    </row>
    <row r="21">
      <c r="B21">
        <f>IFERROR(INDEX(Labor!$C$2:$C$301,MATCH(TEXT($H$3,"yyyy-mm-dd")&amp;"#"&amp;12,Labor!$I$2:$I$301,0)),"")</f>
        <v/>
      </c>
      <c r="C21">
        <f>IFERROR(INDEX(Labor!$D$2:$D$301,MATCH(TEXT($H$3,"yyyy-mm-dd")&amp;"#"&amp;12,Labor!$I$2:$I$301,0)),"")</f>
        <v/>
      </c>
      <c r="D21" s="13">
        <f>IFERROR(INDEX(Labor!$E$2:$E$301,MATCH(TEXT($H$3,"yyyy-mm-dd")&amp;"#"&amp;12,Labor!$I$2:$I$301,0)),"")</f>
        <v/>
      </c>
      <c r="E21" s="13">
        <f>IFERROR(INDEX(Labor!$F$2:$F$301,MATCH(TEXT($H$3,"yyyy-mm-dd")&amp;"#"&amp;12,Labor!$I$2:$I$301,0)),"")</f>
        <v/>
      </c>
    </row>
    <row r="22">
      <c r="D22" s="12" t="inlineStr">
        <is>
          <t>Labor total</t>
        </is>
      </c>
      <c r="E22" s="13">
        <f>CEILING(SUM(E10:E21),RoundInc)</f>
        <v/>
      </c>
    </row>
    <row r="24">
      <c r="A24" s="3" t="inlineStr">
        <is>
          <t>Charges</t>
        </is>
      </c>
      <c r="B24" s="3" t="inlineStr">
        <is>
          <t>Category</t>
        </is>
      </c>
      <c r="C24" s="3" t="inlineStr">
        <is>
          <t>Item / Description</t>
        </is>
      </c>
      <c r="D24" s="3" t="inlineStr">
        <is>
          <t>Qty</t>
        </is>
      </c>
      <c r="E24" s="3" t="inlineStr">
        <is>
          <t>Rate</t>
        </is>
      </c>
      <c r="F24" s="3" t="inlineStr">
        <is>
          <t>Amount</t>
        </is>
      </c>
    </row>
    <row r="25">
      <c r="B25">
        <f>IFERROR(INDEX(Charges!$C$2:$C$301,MATCH(TEXT($H$3,"yyyy-mm-dd")&amp;"#"&amp;1,Charges!$N$2:$N$301,0)),"")</f>
        <v/>
      </c>
      <c r="C25">
        <f>IFERROR(INDEX(Charges!$E$2:$E$301,MATCH(TEXT($H$3,"yyyy-mm-dd")&amp;"#"&amp;1,Charges!$N$2:$N$301,0)),"")</f>
        <v/>
      </c>
      <c r="D25">
        <f>IFERROR(INDEX(Charges!$F$2:$F$301,MATCH(TEXT($H$3,"yyyy-mm-dd")&amp;"#"&amp;1,Charges!$N$2:$N$301,0)),"")</f>
        <v/>
      </c>
      <c r="E25" s="13">
        <f>IFERROR(INDEX(Charges!$H$2:$H$301,MATCH(TEXT($H$3,"yyyy-mm-dd")&amp;"#"&amp;1,Charges!$N$2:$N$301,0)),"")</f>
        <v/>
      </c>
      <c r="F25" s="13">
        <f>IFERROR(INDEX(Charges!$I$2:$I$301,MATCH(TEXT($H$3,"yyyy-mm-dd")&amp;"#"&amp;1,Charges!$N$2:$N$301,0)),"")</f>
        <v/>
      </c>
    </row>
    <row r="26">
      <c r="B26">
        <f>IFERROR(INDEX(Charges!$C$2:$C$301,MATCH(TEXT($H$3,"yyyy-mm-dd")&amp;"#"&amp;2,Charges!$N$2:$N$301,0)),"")</f>
        <v/>
      </c>
      <c r="C26">
        <f>IFERROR(INDEX(Charges!$E$2:$E$301,MATCH(TEXT($H$3,"yyyy-mm-dd")&amp;"#"&amp;2,Charges!$N$2:$N$301,0)),"")</f>
        <v/>
      </c>
      <c r="D26">
        <f>IFERROR(INDEX(Charges!$F$2:$F$301,MATCH(TEXT($H$3,"yyyy-mm-dd")&amp;"#"&amp;2,Charges!$N$2:$N$301,0)),"")</f>
        <v/>
      </c>
      <c r="E26" s="13">
        <f>IFERROR(INDEX(Charges!$H$2:$H$301,MATCH(TEXT($H$3,"yyyy-mm-dd")&amp;"#"&amp;2,Charges!$N$2:$N$301,0)),"")</f>
        <v/>
      </c>
      <c r="F26" s="13">
        <f>IFERROR(INDEX(Charges!$I$2:$I$301,MATCH(TEXT($H$3,"yyyy-mm-dd")&amp;"#"&amp;2,Charges!$N$2:$N$301,0)),"")</f>
        <v/>
      </c>
    </row>
    <row r="27">
      <c r="B27">
        <f>IFERROR(INDEX(Charges!$C$2:$C$301,MATCH(TEXT($H$3,"yyyy-mm-dd")&amp;"#"&amp;3,Charges!$N$2:$N$301,0)),"")</f>
        <v/>
      </c>
      <c r="C27">
        <f>IFERROR(INDEX(Charges!$E$2:$E$301,MATCH(TEXT($H$3,"yyyy-mm-dd")&amp;"#"&amp;3,Charges!$N$2:$N$301,0)),"")</f>
        <v/>
      </c>
      <c r="D27">
        <f>IFERROR(INDEX(Charges!$F$2:$F$301,MATCH(TEXT($H$3,"yyyy-mm-dd")&amp;"#"&amp;3,Charges!$N$2:$N$301,0)),"")</f>
        <v/>
      </c>
      <c r="E27" s="13">
        <f>IFERROR(INDEX(Charges!$H$2:$H$301,MATCH(TEXT($H$3,"yyyy-mm-dd")&amp;"#"&amp;3,Charges!$N$2:$N$301,0)),"")</f>
        <v/>
      </c>
      <c r="F27" s="13">
        <f>IFERROR(INDEX(Charges!$I$2:$I$301,MATCH(TEXT($H$3,"yyyy-mm-dd")&amp;"#"&amp;3,Charges!$N$2:$N$301,0)),"")</f>
        <v/>
      </c>
    </row>
    <row r="28">
      <c r="B28">
        <f>IFERROR(INDEX(Charges!$C$2:$C$301,MATCH(TEXT($H$3,"yyyy-mm-dd")&amp;"#"&amp;4,Charges!$N$2:$N$301,0)),"")</f>
        <v/>
      </c>
      <c r="C28">
        <f>IFERROR(INDEX(Charges!$E$2:$E$301,MATCH(TEXT($H$3,"yyyy-mm-dd")&amp;"#"&amp;4,Charges!$N$2:$N$301,0)),"")</f>
        <v/>
      </c>
      <c r="D28">
        <f>IFERROR(INDEX(Charges!$F$2:$F$301,MATCH(TEXT($H$3,"yyyy-mm-dd")&amp;"#"&amp;4,Charges!$N$2:$N$301,0)),"")</f>
        <v/>
      </c>
      <c r="E28" s="13">
        <f>IFERROR(INDEX(Charges!$H$2:$H$301,MATCH(TEXT($H$3,"yyyy-mm-dd")&amp;"#"&amp;4,Charges!$N$2:$N$301,0)),"")</f>
        <v/>
      </c>
      <c r="F28" s="13">
        <f>IFERROR(INDEX(Charges!$I$2:$I$301,MATCH(TEXT($H$3,"yyyy-mm-dd")&amp;"#"&amp;4,Charges!$N$2:$N$301,0)),"")</f>
        <v/>
      </c>
    </row>
    <row r="29">
      <c r="B29">
        <f>IFERROR(INDEX(Charges!$C$2:$C$301,MATCH(TEXT($H$3,"yyyy-mm-dd")&amp;"#"&amp;5,Charges!$N$2:$N$301,0)),"")</f>
        <v/>
      </c>
      <c r="C29">
        <f>IFERROR(INDEX(Charges!$E$2:$E$301,MATCH(TEXT($H$3,"yyyy-mm-dd")&amp;"#"&amp;5,Charges!$N$2:$N$301,0)),"")</f>
        <v/>
      </c>
      <c r="D29">
        <f>IFERROR(INDEX(Charges!$F$2:$F$301,MATCH(TEXT($H$3,"yyyy-mm-dd")&amp;"#"&amp;5,Charges!$N$2:$N$301,0)),"")</f>
        <v/>
      </c>
      <c r="E29" s="13">
        <f>IFERROR(INDEX(Charges!$H$2:$H$301,MATCH(TEXT($H$3,"yyyy-mm-dd")&amp;"#"&amp;5,Charges!$N$2:$N$301,0)),"")</f>
        <v/>
      </c>
      <c r="F29" s="13">
        <f>IFERROR(INDEX(Charges!$I$2:$I$301,MATCH(TEXT($H$3,"yyyy-mm-dd")&amp;"#"&amp;5,Charges!$N$2:$N$301,0)),"")</f>
        <v/>
      </c>
    </row>
    <row r="30">
      <c r="B30">
        <f>IFERROR(INDEX(Charges!$C$2:$C$301,MATCH(TEXT($H$3,"yyyy-mm-dd")&amp;"#"&amp;6,Charges!$N$2:$N$301,0)),"")</f>
        <v/>
      </c>
      <c r="C30">
        <f>IFERROR(INDEX(Charges!$E$2:$E$301,MATCH(TEXT($H$3,"yyyy-mm-dd")&amp;"#"&amp;6,Charges!$N$2:$N$301,0)),"")</f>
        <v/>
      </c>
      <c r="D30">
        <f>IFERROR(INDEX(Charges!$F$2:$F$301,MATCH(TEXT($H$3,"yyyy-mm-dd")&amp;"#"&amp;6,Charges!$N$2:$N$301,0)),"")</f>
        <v/>
      </c>
      <c r="E30" s="13">
        <f>IFERROR(INDEX(Charges!$H$2:$H$301,MATCH(TEXT($H$3,"yyyy-mm-dd")&amp;"#"&amp;6,Charges!$N$2:$N$301,0)),"")</f>
        <v/>
      </c>
      <c r="F30" s="13">
        <f>IFERROR(INDEX(Charges!$I$2:$I$301,MATCH(TEXT($H$3,"yyyy-mm-dd")&amp;"#"&amp;6,Charges!$N$2:$N$301,0)),"")</f>
        <v/>
      </c>
    </row>
    <row r="31">
      <c r="B31">
        <f>IFERROR(INDEX(Charges!$C$2:$C$301,MATCH(TEXT($H$3,"yyyy-mm-dd")&amp;"#"&amp;7,Charges!$N$2:$N$301,0)),"")</f>
        <v/>
      </c>
      <c r="C31">
        <f>IFERROR(INDEX(Charges!$E$2:$E$301,MATCH(TEXT($H$3,"yyyy-mm-dd")&amp;"#"&amp;7,Charges!$N$2:$N$301,0)),"")</f>
        <v/>
      </c>
      <c r="D31">
        <f>IFERROR(INDEX(Charges!$F$2:$F$301,MATCH(TEXT($H$3,"yyyy-mm-dd")&amp;"#"&amp;7,Charges!$N$2:$N$301,0)),"")</f>
        <v/>
      </c>
      <c r="E31" s="13">
        <f>IFERROR(INDEX(Charges!$H$2:$H$301,MATCH(TEXT($H$3,"yyyy-mm-dd")&amp;"#"&amp;7,Charges!$N$2:$N$301,0)),"")</f>
        <v/>
      </c>
      <c r="F31" s="13">
        <f>IFERROR(INDEX(Charges!$I$2:$I$301,MATCH(TEXT($H$3,"yyyy-mm-dd")&amp;"#"&amp;7,Charges!$N$2:$N$301,0)),"")</f>
        <v/>
      </c>
    </row>
    <row r="32">
      <c r="B32">
        <f>IFERROR(INDEX(Charges!$C$2:$C$301,MATCH(TEXT($H$3,"yyyy-mm-dd")&amp;"#"&amp;8,Charges!$N$2:$N$301,0)),"")</f>
        <v/>
      </c>
      <c r="C32">
        <f>IFERROR(INDEX(Charges!$E$2:$E$301,MATCH(TEXT($H$3,"yyyy-mm-dd")&amp;"#"&amp;8,Charges!$N$2:$N$301,0)),"")</f>
        <v/>
      </c>
      <c r="D32">
        <f>IFERROR(INDEX(Charges!$F$2:$F$301,MATCH(TEXT($H$3,"yyyy-mm-dd")&amp;"#"&amp;8,Charges!$N$2:$N$301,0)),"")</f>
        <v/>
      </c>
      <c r="E32" s="13">
        <f>IFERROR(INDEX(Charges!$H$2:$H$301,MATCH(TEXT($H$3,"yyyy-mm-dd")&amp;"#"&amp;8,Charges!$N$2:$N$301,0)),"")</f>
        <v/>
      </c>
      <c r="F32" s="13">
        <f>IFERROR(INDEX(Charges!$I$2:$I$301,MATCH(TEXT($H$3,"yyyy-mm-dd")&amp;"#"&amp;8,Charges!$N$2:$N$301,0)),"")</f>
        <v/>
      </c>
    </row>
    <row r="33">
      <c r="B33">
        <f>IFERROR(INDEX(Charges!$C$2:$C$301,MATCH(TEXT($H$3,"yyyy-mm-dd")&amp;"#"&amp;9,Charges!$N$2:$N$301,0)),"")</f>
        <v/>
      </c>
      <c r="C33">
        <f>IFERROR(INDEX(Charges!$E$2:$E$301,MATCH(TEXT($H$3,"yyyy-mm-dd")&amp;"#"&amp;9,Charges!$N$2:$N$301,0)),"")</f>
        <v/>
      </c>
      <c r="D33">
        <f>IFERROR(INDEX(Charges!$F$2:$F$301,MATCH(TEXT($H$3,"yyyy-mm-dd")&amp;"#"&amp;9,Charges!$N$2:$N$301,0)),"")</f>
        <v/>
      </c>
      <c r="E33" s="13">
        <f>IFERROR(INDEX(Charges!$H$2:$H$301,MATCH(TEXT($H$3,"yyyy-mm-dd")&amp;"#"&amp;9,Charges!$N$2:$N$301,0)),"")</f>
        <v/>
      </c>
      <c r="F33" s="13">
        <f>IFERROR(INDEX(Charges!$I$2:$I$301,MATCH(TEXT($H$3,"yyyy-mm-dd")&amp;"#"&amp;9,Charges!$N$2:$N$301,0)),"")</f>
        <v/>
      </c>
    </row>
    <row r="34">
      <c r="B34">
        <f>IFERROR(INDEX(Charges!$C$2:$C$301,MATCH(TEXT($H$3,"yyyy-mm-dd")&amp;"#"&amp;10,Charges!$N$2:$N$301,0)),"")</f>
        <v/>
      </c>
      <c r="C34">
        <f>IFERROR(INDEX(Charges!$E$2:$E$301,MATCH(TEXT($H$3,"yyyy-mm-dd")&amp;"#"&amp;10,Charges!$N$2:$N$301,0)),"")</f>
        <v/>
      </c>
      <c r="D34">
        <f>IFERROR(INDEX(Charges!$F$2:$F$301,MATCH(TEXT($H$3,"yyyy-mm-dd")&amp;"#"&amp;10,Charges!$N$2:$N$301,0)),"")</f>
        <v/>
      </c>
      <c r="E34" s="13">
        <f>IFERROR(INDEX(Charges!$H$2:$H$301,MATCH(TEXT($H$3,"yyyy-mm-dd")&amp;"#"&amp;10,Charges!$N$2:$N$301,0)),"")</f>
        <v/>
      </c>
      <c r="F34" s="13">
        <f>IFERROR(INDEX(Charges!$I$2:$I$301,MATCH(TEXT($H$3,"yyyy-mm-dd")&amp;"#"&amp;10,Charges!$N$2:$N$301,0)),"")</f>
        <v/>
      </c>
    </row>
    <row r="35">
      <c r="B35">
        <f>IFERROR(INDEX(Charges!$C$2:$C$301,MATCH(TEXT($H$3,"yyyy-mm-dd")&amp;"#"&amp;11,Charges!$N$2:$N$301,0)),"")</f>
        <v/>
      </c>
      <c r="C35">
        <f>IFERROR(INDEX(Charges!$E$2:$E$301,MATCH(TEXT($H$3,"yyyy-mm-dd")&amp;"#"&amp;11,Charges!$N$2:$N$301,0)),"")</f>
        <v/>
      </c>
      <c r="D35">
        <f>IFERROR(INDEX(Charges!$F$2:$F$301,MATCH(TEXT($H$3,"yyyy-mm-dd")&amp;"#"&amp;11,Charges!$N$2:$N$301,0)),"")</f>
        <v/>
      </c>
      <c r="E35" s="13">
        <f>IFERROR(INDEX(Charges!$H$2:$H$301,MATCH(TEXT($H$3,"yyyy-mm-dd")&amp;"#"&amp;11,Charges!$N$2:$N$301,0)),"")</f>
        <v/>
      </c>
      <c r="F35" s="13">
        <f>IFERROR(INDEX(Charges!$I$2:$I$301,MATCH(TEXT($H$3,"yyyy-mm-dd")&amp;"#"&amp;11,Charges!$N$2:$N$301,0)),"")</f>
        <v/>
      </c>
    </row>
    <row r="36">
      <c r="B36">
        <f>IFERROR(INDEX(Charges!$C$2:$C$301,MATCH(TEXT($H$3,"yyyy-mm-dd")&amp;"#"&amp;12,Charges!$N$2:$N$301,0)),"")</f>
        <v/>
      </c>
      <c r="C36">
        <f>IFERROR(INDEX(Charges!$E$2:$E$301,MATCH(TEXT($H$3,"yyyy-mm-dd")&amp;"#"&amp;12,Charges!$N$2:$N$301,0)),"")</f>
        <v/>
      </c>
      <c r="D36">
        <f>IFERROR(INDEX(Charges!$F$2:$F$301,MATCH(TEXT($H$3,"yyyy-mm-dd")&amp;"#"&amp;12,Charges!$N$2:$N$301,0)),"")</f>
        <v/>
      </c>
      <c r="E36" s="13">
        <f>IFERROR(INDEX(Charges!$H$2:$H$301,MATCH(TEXT($H$3,"yyyy-mm-dd")&amp;"#"&amp;12,Charges!$N$2:$N$301,0)),"")</f>
        <v/>
      </c>
      <c r="F36" s="13">
        <f>IFERROR(INDEX(Charges!$I$2:$I$301,MATCH(TEXT($H$3,"yyyy-mm-dd")&amp;"#"&amp;12,Charges!$N$2:$N$301,0)),"")</f>
        <v/>
      </c>
    </row>
    <row r="37">
      <c r="D37" s="12" t="inlineStr">
        <is>
          <t>Truck / trip charges</t>
        </is>
      </c>
      <c r="F37" s="13">
        <f>CEILING(SUMIFS(Charges!$I$2:$I$301,Charges!$C$2:$C$301,"Truck 1",Charges!$J$2:$J$301,"Yes",Charges!$A$2:$A$301,$H$3)+SUMIFS(Charges!$I$2:$I$301,Charges!$C$2:$C$301,"Truck 2",Charges!$J$2:$J$301,"Yes",Charges!$A$2:$A$301,$H$3)+SUMIFS(Charges!$I$2:$I$301,Charges!$C$2:$C$301,"Trip charge",Charges!$J$2:$J$301,"Yes",Charges!$A$2:$A$301,$H$3),RoundInc)</f>
        <v/>
      </c>
    </row>
    <row r="38">
      <c r="D38" s="12" t="inlineStr">
        <is>
          <t>Equipment</t>
        </is>
      </c>
      <c r="F38" s="13">
        <f>CEILING(SUMIFS(Charges!$I$2:$I$301,Charges!$C$2:$C$301,"Equipment",Charges!$J$2:$J$301,"Yes",Charges!$A$2:$A$301,$H$3),RoundInc)</f>
        <v/>
      </c>
    </row>
    <row r="39">
      <c r="D39" s="12" t="inlineStr">
        <is>
          <t>Expenses (before upcharge)</t>
        </is>
      </c>
      <c r="F39" s="13">
        <f>CEILING(SUMIFS(Charges!$I$2:$I$301,Charges!$K$2:$K$301,"Yes",Charges!$J$2:$J$301,"Yes",Charges!$A$2:$A$301,$H$3),RoundInc)</f>
        <v/>
      </c>
    </row>
    <row r="40">
      <c r="D40" t="inlineStr">
        <is>
          <t>Expense upcharge 15%</t>
        </is>
      </c>
      <c r="F40" s="13">
        <f>CEILING(F39*UpchargePct,RoundInc)</f>
        <v/>
      </c>
    </row>
    <row r="41">
      <c r="D41" s="12" t="inlineStr">
        <is>
          <t>Charges total</t>
        </is>
      </c>
      <c r="F41" s="13">
        <f>CEILING(F37+F38+F39+F40,RoundInc)</f>
        <v/>
      </c>
    </row>
    <row r="43">
      <c r="D43" s="16" t="inlineStr">
        <is>
          <t>DAY TOTAL</t>
        </is>
      </c>
      <c r="F43" s="15">
        <f>CEILING(E22+F41,RoundInc)</f>
        <v/>
      </c>
    </row>
  </sheetData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Notes — cómo mantener este libro</t>
        </is>
      </c>
    </row>
    <row r="3" ht="30" customHeight="1">
      <c r="B3" s="20" t="inlineStr"/>
    </row>
    <row r="4" ht="30" customHeight="1">
      <c r="A4" s="12" t="inlineStr">
        <is>
          <t>Flujo diario</t>
        </is>
      </c>
      <c r="B4" s="20" t="inlineStr">
        <is>
          <t>Rellena Labor (horas por técnico y día) y Charges (camiones, trip charges, truck stock, compras, equipos, gastos). No hace falta crear nada nuevo: el libro es acumulativo.</t>
        </is>
      </c>
    </row>
    <row r="5" ht="30" customHeight="1">
      <c r="A5" s="12" t="inlineStr">
        <is>
          <t>Factura</t>
        </is>
      </c>
      <c r="B5" s="20" t="inlineStr">
        <is>
          <t>En Invoice elige Client y el rango From/To. Los bloques de trabajo, camiones/equipos y gastos se calculan con SUMIFS sobre el rango.</t>
        </is>
      </c>
    </row>
    <row r="6" ht="30" customHeight="1">
      <c r="A6" s="12" t="inlineStr">
        <is>
          <t>Nómina</t>
        </is>
      </c>
      <c r="B6" s="20" t="inlineStr">
        <is>
          <t>En Payroll elige From/To: horas del rango por técnico × su tarifa a pagar, más los gastos marcados "Reimburse tech" = Yes.</t>
        </is>
      </c>
    </row>
    <row r="7" ht="30" customHeight="1">
      <c r="A7" s="12" t="inlineStr">
        <is>
          <t>Hoja diaria</t>
        </is>
      </c>
      <c r="B7" s="20" t="inlineStr">
        <is>
          <t>DailySheet imprime el detalle de un día concreto (la fecha sale de Invoice!B5). Puedes cambiarla en H3 para revisar otro día.</t>
        </is>
      </c>
    </row>
    <row r="8" ht="30" customHeight="1">
      <c r="A8" s="12" t="inlineStr">
        <is>
          <t>SUMIFS</t>
        </is>
      </c>
      <c r="B8" s="20" t="inlineStr">
        <is>
          <t>SUMIFS(Charge, Category, "Truck 1", Billable, "Yes", Date, "&gt;="&amp;From, Date, "&lt;="&amp;To). Se usa SUMIFS en vez de SUM porque filtra por varias condiciones a la vez.</t>
        </is>
      </c>
    </row>
    <row r="9" ht="30" customHeight="1">
      <c r="A9" s="12" t="inlineStr">
        <is>
          <t>Redondeo</t>
        </is>
      </c>
      <c r="B9" s="20" t="inlineStr">
        <is>
          <t>Todo importe pasa por CEILING(x, RoundInc) con RoundInc = 0,01 en Setup. Si quieres redondear al dólar, pon 1 en Setup!B6.</t>
        </is>
      </c>
    </row>
    <row r="10" ht="30" customHeight="1">
      <c r="A10" s="12" t="inlineStr">
        <is>
          <t>Recargo del 15%</t>
        </is>
      </c>
      <c r="B10" s="20" t="inlineStr">
        <is>
          <t>La columna "Markup 15%" de Charges marca solas las categorías Truck stock, Purchase, Tech expense y Other. Para añadir otra categoría con recargo, añádela a la lista de Setup y ajusta la fórmula de la columna K de Charges.</t>
        </is>
      </c>
    </row>
    <row r="11" ht="30" customHeight="1">
      <c r="A11" s="12" t="inlineStr">
        <is>
          <t>Rate automática</t>
        </is>
      </c>
      <c r="B11" s="20" t="inlineStr">
        <is>
          <t>La columna Rate de Charges busca en el catálogo de camiones y equipos. Si escribes un importe en "Amount (override)", ese importe manda sobre el catálogo (para compras y trip charges).</t>
        </is>
      </c>
    </row>
    <row r="12" ht="30" customHeight="1">
      <c r="A12" s="12" t="inlineStr">
        <is>
          <t>Añadir filas</t>
        </is>
      </c>
      <c r="B12" s="20" t="inlineStr">
        <is>
          <t>Las fórmulas cubren hasta la fila 301. Si necesitas más, arrastra la última fila hacia abajo: los SUMIFS de Invoice/Payroll cubren el mismo rango.</t>
        </is>
      </c>
    </row>
    <row r="13" ht="30" customHeight="1">
      <c r="A13" s="12" t="inlineStr">
        <is>
          <t>Añadir técnicos</t>
        </is>
      </c>
      <c r="B13" s="20" t="inlineStr">
        <is>
          <t>Añade el técnico en Setup (filas 30-37) y amplía los bloques de Invoice/Payroll copiando una fila existente.</t>
        </is>
      </c>
    </row>
    <row r="14" ht="30" customHeight="1">
      <c r="A14" s="12" t="inlineStr">
        <is>
          <t>Equipos</t>
        </is>
      </c>
      <c r="B14" s="20" t="inlineStr">
        <is>
          <t>Añade equipos al catálogo de Setup (filas 16-25) con su tarifa de día completo y de medio día.</t>
        </is>
      </c>
    </row>
    <row r="15" ht="30" customHeight="1">
      <c r="A15" s="12" t="inlineStr">
        <is>
          <t>Imprimir</t>
        </is>
      </c>
      <c r="B15" s="20" t="inlineStr">
        <is>
          <t>Invoice, Payroll y DailySheet ya están configuradas en A4 vertical a una página de ancho. "Guardar como PDF" en Excel usa esa configuración.</t>
        </is>
      </c>
    </row>
    <row r="16" ht="30" customHeight="1">
      <c r="A16" s="12" t="inlineStr">
        <is>
          <t>Compatibilidad</t>
        </is>
      </c>
      <c r="B16" s="20" t="inlineStr">
        <is>
          <t>Todo funciona en Excel 2013: no se usan XLOOKUP, LET, LAMBDA, TEXTJOIN, MAXIFS ni fórmulas matriciales.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2026-09-22T05:51:39Z</dcterms:created>
  <dcterms:modified xsi:type="dcterms:W3CDTF">2026-09-22T05:51:39Z</dcterms:modified>
</cp:coreProperties>
</file>